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pivotTables/pivotTable2.xml" ContentType="application/vnd.openxmlformats-officedocument.spreadsheetml.pivotTable+xml"/>
  <Override PartName="/xl/tables/table4.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8_{75A75829-854F-4435-A66A-CB0FAAC7A486}" xr6:coauthVersionLast="47" xr6:coauthVersionMax="47" xr10:uidLastSave="{00000000-0000-0000-0000-000000000000}"/>
  <bookViews>
    <workbookView xWindow="-108" yWindow="-108" windowWidth="23256" windowHeight="12456" tabRatio="1000" xr2:uid="{44EA91D5-1F29-485A-B376-43C1514CE33C}"/>
  </bookViews>
  <sheets>
    <sheet name="student_budget_practice" sheetId="1" r:id="rId1"/>
    <sheet name="Practice_Question_Answers" sheetId="2" r:id="rId2"/>
    <sheet name="Q12" sheetId="4" r:id="rId3"/>
    <sheet name="Q13" sheetId="5" r:id="rId4"/>
    <sheet name="Q16" sheetId="7" r:id="rId5"/>
    <sheet name="Q17" sheetId="9" r:id="rId6"/>
    <sheet name="Q21_Lookup_Table" sheetId="3" r:id="rId7"/>
    <sheet name="Q23" sheetId="17" r:id="rId8"/>
    <sheet name="Q22" sheetId="12" r:id="rId9"/>
    <sheet name="pivot_1" sheetId="18" r:id="rId10"/>
    <sheet name="pivot_3" sheetId="20" r:id="rId11"/>
    <sheet name="pivot_2" sheetId="19" r:id="rId12"/>
    <sheet name="Q29" sheetId="21" r:id="rId13"/>
    <sheet name="Q30" sheetId="22" r:id="rId14"/>
  </sheets>
  <definedNames>
    <definedName name="AllAmount">Table1[[#All],[Amount ]]</definedName>
    <definedName name="AllAmounts">Table1[[#Headers],[Amount ]]</definedName>
    <definedName name="Slicer_Month">#N/A</definedName>
    <definedName name="Slicer_Month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 i="22" l="1"/>
  <c r="G10" i="22"/>
  <c r="G11" i="22"/>
  <c r="G13" i="22"/>
  <c r="G8" i="22"/>
  <c r="O10" i="21"/>
  <c r="O9" i="21"/>
  <c r="O8" i="21"/>
  <c r="O7" i="21"/>
  <c r="O6" i="21"/>
  <c r="F16" i="3"/>
  <c r="F17" i="3"/>
  <c r="F18" i="3"/>
  <c r="F19" i="3"/>
  <c r="F20" i="3"/>
  <c r="F21" i="3"/>
  <c r="F15" i="3"/>
  <c r="E29" i="2" a="1"/>
  <c r="E28" i="2"/>
  <c r="B13" i="5"/>
  <c r="E27" i="2"/>
  <c r="H9" i="12"/>
  <c r="G9" i="12"/>
  <c r="F9" i="12"/>
  <c r="C14" i="3" a="1"/>
  <c r="B14" i="3" a="1"/>
  <c r="E18" i="2"/>
  <c r="E12" i="2"/>
  <c r="E22" i="2" a="1"/>
  <c r="E21" i="2"/>
  <c r="D6" i="7"/>
  <c r="E17" i="2"/>
  <c r="E16" i="2"/>
  <c r="E6" i="2"/>
  <c r="D4" i="4" a="1"/>
  <c r="E14" i="2"/>
  <c r="E13" i="2"/>
  <c r="E9" i="2"/>
  <c r="E8" i="2"/>
  <c r="E7" i="2"/>
  <c r="E5" i="2"/>
  <c r="E4" i="2"/>
  <c r="F14" i="3" l="1"/>
  <c r="D15" i="3"/>
  <c r="D16" i="3"/>
  <c r="D17" i="3"/>
  <c r="D18" i="3"/>
  <c r="D20" i="3"/>
  <c r="D21" i="3"/>
  <c r="D19" i="3"/>
  <c r="E29" i="2"/>
  <c r="E21" i="3"/>
  <c r="C14" i="3"/>
  <c r="B14" i="3"/>
  <c r="D14" i="3" s="1"/>
  <c r="E22" i="2"/>
  <c r="D4" i="4"/>
  <c r="E19" i="3" l="1"/>
  <c r="E14" i="3"/>
  <c r="G12" i="22"/>
  <c r="E20" i="3"/>
  <c r="E17" i="3"/>
  <c r="E16" i="3"/>
  <c r="E15" i="3"/>
  <c r="E1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<sst xmlns="http://schemas.openxmlformats.org/spreadsheetml/2006/main" count="1390" uniqueCount="272">
  <si>
    <t>Date</t>
  </si>
  <si>
    <t>Category</t>
  </si>
  <si>
    <t>Subcategory</t>
  </si>
  <si>
    <t>Description</t>
  </si>
  <si>
    <t xml:space="preserve">Amount </t>
  </si>
  <si>
    <t>Payment Method</t>
  </si>
  <si>
    <t>Expense Type</t>
  </si>
  <si>
    <t>Month</t>
  </si>
  <si>
    <t>Shopping</t>
  </si>
  <si>
    <t>Personal Care</t>
  </si>
  <si>
    <t>Nykaa skincare order</t>
  </si>
  <si>
    <t>UPI</t>
  </si>
  <si>
    <t>Need</t>
  </si>
  <si>
    <t>January</t>
  </si>
  <si>
    <t>Miscellaneous</t>
  </si>
  <si>
    <t>Travel</t>
  </si>
  <si>
    <t>Train ticket  home</t>
  </si>
  <si>
    <t>Want</t>
  </si>
  <si>
    <t>Transportation</t>
  </si>
  <si>
    <t>Fuel</t>
  </si>
  <si>
    <t>Fuel refill  bike</t>
  </si>
  <si>
    <t>Cash</t>
  </si>
  <si>
    <t>Food</t>
  </si>
  <si>
    <t>Meal Prep</t>
  </si>
  <si>
    <t>Protein powder top-up</t>
  </si>
  <si>
    <t>Healthcare</t>
  </si>
  <si>
    <t>Mental Health</t>
  </si>
  <si>
    <t>Counselling session</t>
  </si>
  <si>
    <t>Vehicle Maintenance</t>
  </si>
  <si>
    <t>Bike service  TVS</t>
  </si>
  <si>
    <t>Debit Card</t>
  </si>
  <si>
    <t>Education</t>
  </si>
  <si>
    <t>Books &amp; Stationery</t>
  </si>
  <si>
    <t>Printer paper</t>
  </si>
  <si>
    <t>Credit Card</t>
  </si>
  <si>
    <t>Gifts</t>
  </si>
  <si>
    <t>Farewell gift pooling</t>
  </si>
  <si>
    <t>Home Essentials</t>
  </si>
  <si>
    <t>Extension cord</t>
  </si>
  <si>
    <t>Ride Share</t>
  </si>
  <si>
    <t>Rapido bike ride</t>
  </si>
  <si>
    <t>Entertainment</t>
  </si>
  <si>
    <t>Hobbies</t>
  </si>
  <si>
    <t>Cricket bat purchase</t>
  </si>
  <si>
    <t>Movies</t>
  </si>
  <si>
    <t>PVR Cinemas  Avengers</t>
  </si>
  <si>
    <t>Subscriptions</t>
  </si>
  <si>
    <t>Disney+ Hotstar</t>
  </si>
  <si>
    <t>Donations</t>
  </si>
  <si>
    <t>Friend crowdfund</t>
  </si>
  <si>
    <t>Public Transport</t>
  </si>
  <si>
    <t>MTC season ticket</t>
  </si>
  <si>
    <t>Weekend trip  Pondicherry</t>
  </si>
  <si>
    <t>Exam Fees</t>
  </si>
  <si>
    <t>Gate exam form</t>
  </si>
  <si>
    <t>Groceries</t>
  </si>
  <si>
    <t>Big Basket order</t>
  </si>
  <si>
    <t>Bills</t>
  </si>
  <si>
    <t>Mobile Recharge</t>
  </si>
  <si>
    <t>Airtel postpaid bill</t>
  </si>
  <si>
    <t>Bedsheet  Pepperfry</t>
  </si>
  <si>
    <t>PVR Cinemas Avengers</t>
  </si>
  <si>
    <t>Dabba from mess</t>
  </si>
  <si>
    <t>Tiffin service  monthly</t>
  </si>
  <si>
    <t>Auto fare  hospital</t>
  </si>
  <si>
    <t>Badminton court booking</t>
  </si>
  <si>
    <t>Emergency Fund</t>
  </si>
  <si>
    <t>Unexpected repair</t>
  </si>
  <si>
    <t>Parking</t>
  </si>
  <si>
    <t>College parking  month</t>
  </si>
  <si>
    <t>Doctor Visits</t>
  </si>
  <si>
    <t>General physician visit</t>
  </si>
  <si>
    <t>Vending machine</t>
  </si>
  <si>
    <t>February</t>
  </si>
  <si>
    <t>Clothing</t>
  </si>
  <si>
    <t>H&amp;M T-shirts</t>
  </si>
  <si>
    <t>Online Courses</t>
  </si>
  <si>
    <t>NPTEL exam fee</t>
  </si>
  <si>
    <t>JioSaavn</t>
  </si>
  <si>
    <t>Oil change</t>
  </si>
  <si>
    <t>Udemy course Python</t>
  </si>
  <si>
    <t>Reliance Smart Bazaar</t>
  </si>
  <si>
    <t>Snacks</t>
  </si>
  <si>
    <t>Murukku packet</t>
  </si>
  <si>
    <t>Tuition Fees</t>
  </si>
  <si>
    <t>Lab fee payment</t>
  </si>
  <si>
    <t>Net Banking</t>
  </si>
  <si>
    <t>Medicines</t>
  </si>
  <si>
    <t>Vitamin D supplements</t>
  </si>
  <si>
    <t>Notion Pro plan</t>
  </si>
  <si>
    <t>Internet</t>
  </si>
  <si>
    <t>BSNL broadband</t>
  </si>
  <si>
    <t>Electricity</t>
  </si>
  <si>
    <t>Electricity PG room</t>
  </si>
  <si>
    <t>Auto-debit</t>
  </si>
  <si>
    <t>Insurance</t>
  </si>
  <si>
    <t>Two-wheeler insurance</t>
  </si>
  <si>
    <t>Nilgiris dairy run</t>
  </si>
  <si>
    <t>Spencer's weekly shop</t>
  </si>
  <si>
    <t>College fest outfit</t>
  </si>
  <si>
    <t>Gym &amp; Fitness</t>
  </si>
  <si>
    <t>Cult.fit monthly pass</t>
  </si>
  <si>
    <t>Dentist check-up</t>
  </si>
  <si>
    <t>Yoga class</t>
  </si>
  <si>
    <t>Rent</t>
  </si>
  <si>
    <t>Shared apartment share</t>
  </si>
  <si>
    <t>Detergent &amp; soap</t>
  </si>
  <si>
    <t>Stationery</t>
  </si>
  <si>
    <t>Spiral binding</t>
  </si>
  <si>
    <t>Petrol for road trip</t>
  </si>
  <si>
    <t>Electronics</t>
  </si>
  <si>
    <t>Zebronics mouse</t>
  </si>
  <si>
    <t>Events</t>
  </si>
  <si>
    <t>College fest tickets</t>
  </si>
  <si>
    <t>Hostel room rent</t>
  </si>
  <si>
    <t>Tyre puncture repair</t>
  </si>
  <si>
    <t>Kodaikanal road trip share</t>
  </si>
  <si>
    <t>March</t>
  </si>
  <si>
    <t>Random online purchase</t>
  </si>
  <si>
    <t>TCS iON test fee</t>
  </si>
  <si>
    <t>Train ticket home</t>
  </si>
  <si>
    <t>Health insurance premium</t>
  </si>
  <si>
    <t>Wi-Fi router recharge</t>
  </si>
  <si>
    <t>Smart meter top-up</t>
  </si>
  <si>
    <t>Stand-up comedy</t>
  </si>
  <si>
    <t>PG accommodation fee</t>
  </si>
  <si>
    <t>Shared apartment  share</t>
  </si>
  <si>
    <t>Flood relief fund</t>
  </si>
  <si>
    <t>EB bill  hostel share</t>
  </si>
  <si>
    <t>Weekend trip Pondicherry</t>
  </si>
  <si>
    <t>SPI Sathyam Tamil film</t>
  </si>
  <si>
    <t>Pharmacy fever meds</t>
  </si>
  <si>
    <t>Flipkart ethnic wear</t>
  </si>
  <si>
    <t>Petrol  Honda Activa</t>
  </si>
  <si>
    <t>Parking meter fee</t>
  </si>
  <si>
    <t>Flight  semester break</t>
  </si>
  <si>
    <t>Ruler &amp; geometry box</t>
  </si>
  <si>
    <t>Pharmacy  fever meds</t>
  </si>
  <si>
    <t>April</t>
  </si>
  <si>
    <t>Protein supplements</t>
  </si>
  <si>
    <t>Stress-relief workshop</t>
  </si>
  <si>
    <t>Home cook ingredients</t>
  </si>
  <si>
    <t>Bank charges</t>
  </si>
  <si>
    <t>iCloud storage 50GB</t>
  </si>
  <si>
    <t>The Ordinary serum</t>
  </si>
  <si>
    <t>Wedding contribution</t>
  </si>
  <si>
    <t>Pen drive Kingston</t>
  </si>
  <si>
    <t>Coursera subscription</t>
  </si>
  <si>
    <t>Ola cab  college</t>
  </si>
  <si>
    <t>Guitar strings</t>
  </si>
  <si>
    <t>Higginbothams reference book</t>
  </si>
  <si>
    <t>Beverages</t>
  </si>
  <si>
    <t>Boost health drink</t>
  </si>
  <si>
    <t>Vi recharge 28-day</t>
  </si>
  <si>
    <t>Boat earphones</t>
  </si>
  <si>
    <t>May</t>
  </si>
  <si>
    <t>Zumba session</t>
  </si>
  <si>
    <t>Cafe latte Starbucks</t>
  </si>
  <si>
    <t>Printing  assignment</t>
  </si>
  <si>
    <t>Printing assignment</t>
  </si>
  <si>
    <t>Bedsheet - Pepperfry</t>
  </si>
  <si>
    <t>Netflix DVD plan</t>
  </si>
  <si>
    <t>Emergency medicine</t>
  </si>
  <si>
    <t>Sunscreen SPF 50</t>
  </si>
  <si>
    <t>Aptitude test fee</t>
  </si>
  <si>
    <t>Shared apartment- share</t>
  </si>
  <si>
    <t>Bike service -TVS</t>
  </si>
  <si>
    <t>Dining Out</t>
  </si>
  <si>
    <t>KFC weekend treat</t>
  </si>
  <si>
    <t>Haldiram's pack</t>
  </si>
  <si>
    <t>ACT Fibernet monthly</t>
  </si>
  <si>
    <t>Amazon-textbook</t>
  </si>
  <si>
    <t>Cultural show</t>
  </si>
  <si>
    <t>Anniversary present</t>
  </si>
  <si>
    <t>June</t>
  </si>
  <si>
    <t>Tender coconut</t>
  </si>
  <si>
    <t>Lost wallet replacement</t>
  </si>
  <si>
    <t>Gaming</t>
  </si>
  <si>
    <t>PlayStation Store</t>
  </si>
  <si>
    <t>TNSTC bus fare</t>
  </si>
  <si>
    <t>Pharmacy - fever meds</t>
  </si>
  <si>
    <t>Pen drive - Kingston</t>
  </si>
  <si>
    <t>Bike service - TVS</t>
  </si>
  <si>
    <t>Auto fare- hospital</t>
  </si>
  <si>
    <t>EB bill - hostel share</t>
  </si>
  <si>
    <t>Student accident cover</t>
  </si>
  <si>
    <t>Ola outstation</t>
  </si>
  <si>
    <t>College parking - month</t>
  </si>
  <si>
    <t>Coaching</t>
  </si>
  <si>
    <t>Coding bootcamp deposit</t>
  </si>
  <si>
    <t>Zomato order - Biryani</t>
  </si>
  <si>
    <t>Google One storage</t>
  </si>
  <si>
    <t>Questions</t>
  </si>
  <si>
    <t>Answers</t>
  </si>
  <si>
    <t xml:space="preserve">What is the average transaction amount across all 200 records?
 </t>
  </si>
  <si>
    <t>S.NO</t>
  </si>
  <si>
    <t xml:space="preserve">What is the lowest single expense recorded in the dataset?
</t>
  </si>
  <si>
    <t xml:space="preserve">What is the highest single expense recorded in the dataset?
  </t>
  </si>
  <si>
    <t xml:space="preserve">Find the median transaction amount. How does it compare to the average?
  </t>
  </si>
  <si>
    <t xml:space="preserve">How many transactions are classified as 'Need' expense type?
  </t>
  </si>
  <si>
    <t xml:space="preserve">What is the total amount spent on 'Food' category?
  </t>
  </si>
  <si>
    <t>Apply a color scale (green-yellow-red) on the Amount column to visually rank spending.</t>
  </si>
  <si>
    <t>Done</t>
  </si>
  <si>
    <t>Add a dropdown list in column F restricting entries to: Cash, UPI, Credit Card, Debit Card.</t>
  </si>
  <si>
    <t>Create a Named Range called 'AllAmounts' for the Amount column.</t>
  </si>
  <si>
    <t xml:space="preserve">Calculate the standard deviation of all transaction amounts.
 </t>
  </si>
  <si>
    <t>Transpose the monthly totals into a horizontal table and use HLOOKUP to retrieve May's total.</t>
  </si>
  <si>
    <t>Build a Pivot Table: Rows = Category, Values = Sum of Amount. Which category had the highest total?</t>
  </si>
  <si>
    <t>Create a Pivot Table showing count of transactions per Payment Method per Month.</t>
  </si>
  <si>
    <t>Highlight all 'Want' expense rows in column G with a light orange background using a formula rule.</t>
  </si>
  <si>
    <t>Build a dynamic lookup: given a Category input cell, return the total spend AND the budget limit, then compute overspend/underspend. Show the formula chain.</t>
  </si>
  <si>
    <t>From your Category Pivot Table, insert a clustered bar chart. Add data labels, a title 'Spending by Category Jan–Jun 2024', and format the Y-axis in ₹.</t>
  </si>
  <si>
    <t>Apply icon sets (red/yellow/green arrows) on the Amount column relative to the overall AVERAGE. Amounts below average = red, near = yellow, above = green.</t>
  </si>
  <si>
    <t>Using the Named Range 'BudgetData', write an INDEX-MATCH that retrieves the month with the highest spending.
  Hint: =INDEX('Budget Data'!H2:H201, MATCH(MAX('Summary &amp; Stats'!F51:F56),'Summary &amp; Stats'!F51:F56,0))</t>
  </si>
  <si>
    <t>Calculate the total UPI payments made for 'Need' expenses in March only.
  Formula: =SUMPRODUCT(('Budget Data'!F2:F201="UPI")*('Budget Data'!G2:G201="Need")*('Budget Data'!H2:H201="March")*'Budget Data'!E2:E201)</t>
  </si>
  <si>
    <t>Wrap the Budget Limit VLOOKUP in IFERROR to display 'Not Budgeted' if a category isn't in the lookup table.</t>
  </si>
  <si>
    <t>Design a 3-pivot-table dashboard: (1) Monthly trend, (2) Need vs Want split, (3) Payment method breakdown. Link all three to a single Month slicer.</t>
  </si>
  <si>
    <t>Calculate month-over-month % change in total spending for each of the 6 months. Identify if there is an upward or downward trend.</t>
  </si>
  <si>
    <t>Using SUMIF, AVERAGEIF, COUNTIF and named ranges, build a one-page KPI block showing: Total Spend, Avg Daily Spend, Needs%, Wants%, Top Category, Most-used Payment Method.</t>
  </si>
  <si>
    <t>Category Reference Table</t>
  </si>
  <si>
    <t>Budget Limit (₹/month)</t>
  </si>
  <si>
    <t>Type</t>
  </si>
  <si>
    <t>Essential</t>
  </si>
  <si>
    <t>Discretionary</t>
  </si>
  <si>
    <t>Variable</t>
  </si>
  <si>
    <t>Using the Lookup Tables sheet, look up the Budget Limit for 'Entertainment'.</t>
  </si>
  <si>
    <t>Type pulled for all rows using VLOOKUP</t>
  </si>
  <si>
    <t>For each transaction row, pull the Type (Essential/Discretionary/Variable) from the CategoryTable.</t>
  </si>
  <si>
    <t>Q:12</t>
  </si>
  <si>
    <t xml:space="preserve">Sum of Amount </t>
  </si>
  <si>
    <t>Column Labels</t>
  </si>
  <si>
    <t>Grand Total</t>
  </si>
  <si>
    <t xml:space="preserve">Return the Description of the most expensive transaction.
 </t>
  </si>
  <si>
    <t xml:space="preserve">Find the Payment Method used for the minimum spend transaction.
  </t>
  </si>
  <si>
    <t>Row Labels</t>
  </si>
  <si>
    <t>Ans</t>
  </si>
  <si>
    <t xml:space="preserve">Count of Amount </t>
  </si>
  <si>
    <t xml:space="preserve">What is the average amount for 'Want' expenses only?
</t>
  </si>
  <si>
    <t>Which Amount bucket is most common? Use MODE on amounts rounded to nearest 100.</t>
  </si>
  <si>
    <t>Category
Spend</t>
  </si>
  <si>
    <t>Budget</t>
  </si>
  <si>
    <t>Variance</t>
  </si>
  <si>
    <t xml:space="preserve">Status </t>
  </si>
  <si>
    <r>
      <t>C</t>
    </r>
    <r>
      <rPr>
        <b/>
        <sz val="11"/>
        <color theme="1"/>
        <rFont val="Arial"/>
        <family val="2"/>
      </rPr>
      <t>category List</t>
    </r>
  </si>
  <si>
    <t xml:space="preserve">Identify all transactions that are more than 2 standard deviations above the mean. List the count and total value of these outlier transactions                                                                                                                                        </t>
  </si>
  <si>
    <t>Threshold</t>
  </si>
  <si>
    <t>Outlier Count</t>
  </si>
  <si>
    <t>Outlier Total</t>
  </si>
  <si>
    <t>Column1</t>
  </si>
  <si>
    <t>Column2</t>
  </si>
  <si>
    <t>Column3</t>
  </si>
  <si>
    <t>Sum of Category
Spend</t>
  </si>
  <si>
    <t>Done Q24</t>
  </si>
  <si>
    <t>Q:24</t>
  </si>
  <si>
    <t>&gt;&gt; Answer</t>
  </si>
  <si>
    <t>iferror_occurs</t>
  </si>
  <si>
    <t>Standard MoM formula.</t>
  </si>
  <si>
    <t>KPI</t>
  </si>
  <si>
    <t>Value</t>
  </si>
  <si>
    <t>Formula</t>
  </si>
  <si>
    <t>Total Spend</t>
  </si>
  <si>
    <t>Avg Daily Spend</t>
  </si>
  <si>
    <t>Needs %</t>
  </si>
  <si>
    <t>Wants %</t>
  </si>
  <si>
    <t>Top Category</t>
  </si>
  <si>
    <t>Most Used Payment Method</t>
  </si>
  <si>
    <t>SUM(E2:E201)</t>
  </si>
  <si>
    <t>SUM(E2:E201)/182</t>
  </si>
  <si>
    <t>SUMIF(G2:G201,"Need",E2:E201)/SUM(E2:E201)</t>
  </si>
  <si>
    <t>SUMIF(G2:G201,"Want",E2:E201)/SUM(E2:E201)</t>
  </si>
  <si>
    <t>INDEX(A14:A21,MATCH(MAX(B14:B21),B14:B21,0))</t>
  </si>
  <si>
    <t>INDEX(D2:D7,MATCH(MAX(E2:E7),E2:E7,0))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</si>
</sst>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2"/>
      <color rgb="FFFFFFFF"/>
      <name val="Arial"/>
      <family val="2"/>
    </font>
    <font>
      <b/>
      <sz val="11"/>
      <color rgb="FFFFFFFF"/>
      <name val="Arial"/>
      <family val="2"/>
    </font>
    <font>
      <b/>
      <sz val="11"/>
      <color theme="1"/>
      <name val="Arial"/>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patternFill>
    </fill>
    <fill>
      <patternFill patternType="solid">
        <fgColor rgb="FFF0F4F8"/>
      </patternFill>
    </fill>
    <fill>
      <patternFill patternType="solid">
        <fgColor rgb="FF1F3864"/>
      </patternFill>
    </fill>
    <fill>
      <patternFill patternType="solid">
        <fgColor rgb="FF2C3E50"/>
      </patternFill>
    </fill>
    <fill>
      <patternFill patternType="solid">
        <fgColor rgb="FFF7F9FC"/>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DC3C7"/>
      </left>
      <right style="thin">
        <color rgb="FFBDC3C7"/>
      </right>
      <top style="thin">
        <color rgb="FFBDC3C7"/>
      </top>
      <bottom style="thin">
        <color rgb="FFBDC3C7"/>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8">
    <xf numFmtId="0" fontId="0" fillId="0" borderId="0" xfId="0"/>
    <xf numFmtId="14" fontId="0" fillId="0" borderId="0" xfId="0" applyNumberFormat="1"/>
    <xf numFmtId="0" fontId="16" fillId="0" borderId="0" xfId="0" applyFont="1"/>
    <xf numFmtId="0" fontId="18" fillId="33" borderId="10" xfId="0" applyFont="1" applyFill="1" applyBorder="1" applyAlignment="1">
      <alignment vertical="top" wrapText="1"/>
    </xf>
    <xf numFmtId="0" fontId="0" fillId="0" borderId="0" xfId="0" applyAlignment="1">
      <alignment horizontal="left" vertical="top"/>
    </xf>
    <xf numFmtId="0" fontId="18" fillId="34" borderId="10" xfId="0" applyFont="1" applyFill="1" applyBorder="1" applyAlignment="1">
      <alignment vertical="top" wrapText="1"/>
    </xf>
    <xf numFmtId="0" fontId="0" fillId="0" borderId="0" xfId="0" applyAlignment="1">
      <alignment wrapText="1"/>
    </xf>
    <xf numFmtId="0" fontId="0" fillId="0" borderId="0" xfId="0" applyAlignment="1">
      <alignment horizontal="right"/>
    </xf>
    <xf numFmtId="0" fontId="20" fillId="36" borderId="10" xfId="0" applyFont="1" applyFill="1" applyBorder="1" applyAlignment="1">
      <alignment horizontal="center"/>
    </xf>
    <xf numFmtId="0" fontId="18" fillId="37" borderId="10" xfId="0" applyFont="1" applyFill="1" applyBorder="1" applyAlignment="1">
      <alignment horizontal="left"/>
    </xf>
    <xf numFmtId="164" fontId="18" fillId="37" borderId="10" xfId="0" applyNumberFormat="1" applyFont="1" applyFill="1" applyBorder="1" applyAlignment="1">
      <alignment horizontal="center"/>
    </xf>
    <xf numFmtId="0" fontId="18" fillId="37" borderId="10" xfId="0" applyFont="1" applyFill="1" applyBorder="1" applyAlignment="1">
      <alignment horizontal="center"/>
    </xf>
    <xf numFmtId="0" fontId="18" fillId="33" borderId="10" xfId="0" applyFont="1" applyFill="1" applyBorder="1" applyAlignment="1">
      <alignment horizontal="left"/>
    </xf>
    <xf numFmtId="164" fontId="18" fillId="33" borderId="10" xfId="0" applyNumberFormat="1" applyFont="1" applyFill="1" applyBorder="1" applyAlignment="1">
      <alignment horizontal="center"/>
    </xf>
    <xf numFmtId="0" fontId="18" fillId="33" borderId="10" xfId="0" applyFont="1" applyFill="1" applyBorder="1" applyAlignment="1">
      <alignment horizontal="center"/>
    </xf>
    <xf numFmtId="0" fontId="0" fillId="0" borderId="0" xfId="0" pivotButton="1"/>
    <xf numFmtId="0" fontId="0" fillId="0" borderId="0" xfId="0" applyAlignment="1">
      <alignment horizontal="right" vertical="center"/>
    </xf>
    <xf numFmtId="0" fontId="0" fillId="0" borderId="0" xfId="0" applyAlignment="1">
      <alignment horizontal="left"/>
    </xf>
    <xf numFmtId="9" fontId="0" fillId="0" borderId="0" xfId="42" applyFont="1"/>
    <xf numFmtId="0" fontId="16" fillId="0" borderId="0" xfId="0" applyFont="1" applyAlignment="1">
      <alignment horizontal="center" vertical="center" wrapText="1"/>
    </xf>
    <xf numFmtId="0" fontId="20" fillId="38" borderId="11" xfId="0" applyFont="1" applyFill="1" applyBorder="1" applyAlignment="1">
      <alignment vertical="top"/>
    </xf>
    <xf numFmtId="0" fontId="16" fillId="0" borderId="11" xfId="0" applyFont="1" applyBorder="1" applyAlignment="1">
      <alignment wrapText="1"/>
    </xf>
    <xf numFmtId="0" fontId="16" fillId="0" borderId="11" xfId="0" applyFont="1" applyBorder="1"/>
    <xf numFmtId="0" fontId="18" fillId="37" borderId="11" xfId="0" applyFont="1" applyFill="1" applyBorder="1" applyAlignment="1">
      <alignment horizontal="left"/>
    </xf>
    <xf numFmtId="0" fontId="0" fillId="0" borderId="11" xfId="0" applyBorder="1"/>
    <xf numFmtId="0" fontId="18" fillId="33" borderId="11" xfId="0" applyFont="1" applyFill="1" applyBorder="1" applyAlignment="1">
      <alignment horizontal="left"/>
    </xf>
    <xf numFmtId="0" fontId="19" fillId="35" borderId="0" xfId="0" applyFont="1" applyFill="1" applyAlignment="1">
      <alignment horizontal="center"/>
    </xf>
    <xf numFmtId="0" fontId="0" fillId="0" borderId="0" xfId="0"/>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
    <dxf>
      <fill>
        <patternFill>
          <bgColor theme="5"/>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0F4F8"/>
        </patternFill>
      </fill>
      <alignment horizontal="general" vertical="top" textRotation="0" wrapText="1" indent="0" justifyLastLine="0" shrinkToFit="0" readingOrder="0"/>
      <border diagonalUp="0" diagonalDown="0">
        <left style="thin">
          <color rgb="FFBDC3C7"/>
        </left>
        <right style="thin">
          <color rgb="FFBDC3C7"/>
        </right>
        <top style="thin">
          <color rgb="FFBDC3C7"/>
        </top>
        <bottom style="thin">
          <color rgb="FFBDC3C7"/>
        </bottom>
        <vertical/>
        <horizontal/>
      </border>
    </dxf>
    <dxf>
      <alignment horizontal="left" vertical="top" textRotation="0" wrapText="0" indent="0" justifyLastLine="0" shrinkToFit="0" readingOrder="0"/>
    </dxf>
    <dxf>
      <numFmt numFmtId="19" formatCode="dd/mm/yy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[student_budget_Excel_practice.xlsx]Q23!PivotTable6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Spending by Category Jan–Jun 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'Q23'!$B$1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'Q23'!$A$2:$A$10</c:f>
              <c:strCache>
                <c:ptCount val="8"/>
                <c:pt idx="0">
                  <c:v>Bills</c:v>
                </c:pt>
                <c:pt idx="1">
                  <c:v>Education</c:v>
                </c:pt>
                <c:pt idx="2">
                  <c:v>Entertainment</c:v>
                </c:pt>
                <c:pt idx="3">
                  <c:v>Food</c:v>
                </c:pt>
                <c:pt idx="4">
                  <c:v>Healthcare</c:v>
                </c:pt>
                <c:pt idx="5">
                  <c:v>Miscellaneous</c:v>
                </c:pt>
                <c:pt idx="6">
                  <c:v>Shopping</c:v>
                </c:pt>
                <c:pt idx="7">
                  <c:v>Transportation</c:v>
                </c:pt>
              </c:strCache>
            </c:strRef>
          </c:cat>
          <c:val>
            <c:numRef>
              <c:f>'Q23'!$B$2:$B$10</c:f>
              <c:numCache>
                <c:formatCode>General</c:formatCode>
                <c:ptCount val="8"/>
                <c:pt idx="0">
                  <c:v>95972.45</c:v>
                </c:pt>
                <c:pt idx="1">
                  <c:v>32891.280000000006</c:v>
                </c:pt>
                <c:pt idx="2">
                  <c:v>15289.760000000002</c:v>
                </c:pt>
                <c:pt idx="3">
                  <c:v>6060.6</c:v>
                </c:pt>
                <c:pt idx="4">
                  <c:v>25444.020000000004</c:v>
                </c:pt>
                <c:pt idx="5">
                  <c:v>73543.25</c:v>
                </c:pt>
                <c:pt idx="6">
                  <c:v>39483.869999999995</c:v>
                </c:pt>
                <c:pt idx="7">
                  <c:v>6763.8100000000013</c:v>
                </c:pt>
              </c:numCache>
            </c:numRef>
          </c:val>
          <c:extLst>
            <c:ext xmlns:c16="http://schemas.microsoft.com/office/drawing/2014/chart" uri="{C3380CC4-5D6E-409C-BE32-E72D297353CC}">
              <c16:uniqueId val="{00000000-300A-4490-969B-0E1F1D0D1396}"/>
            </c:ext>
          </c:extLst>
        </c:ser>
        <c:dLbls>
          <c:dLblPos val="outEnd"/>
          <c:showLegendKey val="0"/>
          <c:showVal val="1"/>
          <c:showCatName val="0"/>
          <c:showSerName val="0"/>
          <c:showPercent val="0"/>
          <c:showBubbleSize val="0"/>
        </c:dLbls>
        <c:gapWidth val="219"/>
        <c:axId val="1811739632"/>
        <c:axId val="1811739152"/>
      </c:barChart>
      <c:catAx>
        <c:axId val="181173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39152"/>
        <c:crosses val="autoZero"/>
        <c:auto val="1"/>
        <c:lblAlgn val="ctr"/>
        <c:lblOffset val="100"/>
        <c:noMultiLvlLbl val="0"/>
      </c:catAx>
      <c:valAx>
        <c:axId val="1811739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3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[student_budget_Excel_practice.xlsx]pivot_3!PivotTable9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pivot_3!$B$3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66-4F93-B674-94A53C868A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66-4F93-B674-94A53C868A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66-4F93-B674-94A53C868A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66-4F93-B674-94A53C868A7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066-4F93-B674-94A53C868A7E}"/>
              </c:ext>
            </c:extLst>
          </c:dPt>
          <c:cat>
            <c:strRef>
              <c:f>pivot_3!$A$4:$A$9</c:f>
              <c:strCache>
                <c:ptCount val="5"/>
                <c:pt idx="0">
                  <c:v>Cash</c:v>
                </c:pt>
                <c:pt idx="1">
                  <c:v>Credit Card</c:v>
                </c:pt>
                <c:pt idx="2">
                  <c:v>Debit Card</c:v>
                </c:pt>
                <c:pt idx="3">
                  <c:v>Net Banking</c:v>
                </c:pt>
                <c:pt idx="4">
                  <c:v>UPI</c:v>
                </c:pt>
              </c:strCache>
            </c:strRef>
          </c:cat>
          <c:val>
            <c:numRef>
              <c:f>pivot_3!$B$4:$B$9</c:f>
              <c:numCache>
                <c:formatCode>General</c:formatCode>
                <c:ptCount val="5"/>
                <c:pt idx="0">
                  <c:v>6</c:v>
                </c:pt>
                <c:pt idx="1">
                  <c:v>5</c:v>
                </c:pt>
                <c:pt idx="2">
                  <c:v>12</c:v>
                </c:pt>
                <c:pt idx="3">
                  <c:v>5</c:v>
                </c:pt>
                <c:pt idx="4">
                  <c:v>6</c:v>
                </c:pt>
              </c:numCache>
            </c:numRef>
          </c:val>
          <c:extLst>
            <c:ext xmlns:c16="http://schemas.microsoft.com/office/drawing/2014/chart" uri="{C3380CC4-5D6E-409C-BE32-E72D297353CC}">
              <c16:uniqueId val="{00000000-4264-493F-9F65-82ED8F7A4A7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[student_budget_Excel_practice.xlsx]pivot_2!PivotTable8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pivot_2!$B$3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95-4401-9B10-BEDB4DE6C1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95-4401-9B10-BEDB4DE6C14E}"/>
              </c:ext>
            </c:extLst>
          </c:dPt>
          <c:cat>
            <c:strRef>
              <c:f>pivot_2!$A$4:$A$6</c:f>
              <c:strCache>
                <c:ptCount val="2"/>
                <c:pt idx="0">
                  <c:v>Need</c:v>
                </c:pt>
                <c:pt idx="1">
                  <c:v>Want</c:v>
                </c:pt>
              </c:strCache>
            </c:strRef>
          </c:cat>
          <c:val>
            <c:numRef>
              <c:f>pivot_2!$B$4:$B$6</c:f>
              <c:numCache>
                <c:formatCode>General</c:formatCode>
                <c:ptCount val="2"/>
                <c:pt idx="0">
                  <c:v>40872.220000000008</c:v>
                </c:pt>
                <c:pt idx="1">
                  <c:v>11410.79</c:v>
                </c:pt>
              </c:numCache>
            </c:numRef>
          </c:val>
          <c:extLst>
            <c:ext xmlns:c16="http://schemas.microsoft.com/office/drawing/2014/chart" uri="{C3380CC4-5D6E-409C-BE32-E72D297353CC}">
              <c16:uniqueId val="{00000000-F8B4-4CDD-9CD8-DEF2981AF97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1D857F08-4616-D7A3-5CBF-9D7935705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297180</xdr:colOff>
      <xdr:row>2</xdr:row>
      <xdr:rowOff>167640</xdr:rowOff>
    </xdr:from>
    <xdr:to>
      <xdr:col>6</xdr:col>
      <xdr:colOff>297180</xdr:colOff>
      <xdr:row>16</xdr:row>
      <xdr:rowOff>74295</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AC964359-0EAD-1505-BD7C-EC6E7E5EF07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788920" y="533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548640</xdr:colOff>
      <xdr:row>6</xdr:row>
      <xdr:rowOff>41910</xdr:rowOff>
    </xdr:from>
    <xdr:to>
      <xdr:col>11</xdr:col>
      <xdr:colOff>243840</xdr:colOff>
      <xdr:row>21</xdr:row>
      <xdr:rowOff>41910</xdr:rowOff>
    </xdr:to>
    <xdr:graphicFrame macro="">
      <xdr:nvGraphicFramePr>
        <xdr:cNvPr id="2" name="Chart 1">
          <a:extLst>
            <a:ext uri="{FF2B5EF4-FFF2-40B4-BE49-F238E27FC236}">
              <a16:creationId xmlns:a16="http://schemas.microsoft.com/office/drawing/2014/main" id="{D50E54DA-356E-B6A3-6F96-64CC144C07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144780</xdr:colOff>
      <xdr:row>3</xdr:row>
      <xdr:rowOff>83820</xdr:rowOff>
    </xdr:from>
    <xdr:to>
      <xdr:col>15</xdr:col>
      <xdr:colOff>144780</xdr:colOff>
      <xdr:row>16</xdr:row>
      <xdr:rowOff>173355</xdr:rowOff>
    </xdr:to>
    <mc:AlternateContent xmlns:mc="http://schemas.openxmlformats.org/markup-compatibility/2006" xmlns:a14="http://schemas.microsoft.com/office/drawing/2010/main">
      <mc:Choice Requires="a14">
        <xdr:graphicFrame macro="">
          <xdr:nvGraphicFramePr>
            <xdr:cNvPr id="3" name="Month 2">
              <a:extLst>
                <a:ext uri="{FF2B5EF4-FFF2-40B4-BE49-F238E27FC236}">
                  <a16:creationId xmlns:a16="http://schemas.microsoft.com/office/drawing/2014/main" id="{6C882EE0-3614-04B4-B696-97BD477202DB}"/>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8214360" y="632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xdr:row>
      <xdr:rowOff>19050</xdr:rowOff>
    </xdr:from>
    <xdr:to>
      <xdr:col>6</xdr:col>
      <xdr:colOff>251460</xdr:colOff>
      <xdr:row>23</xdr:row>
      <xdr:rowOff>19050</xdr:rowOff>
    </xdr:to>
    <xdr:graphicFrame macro="">
      <xdr:nvGraphicFramePr>
        <xdr:cNvPr id="2" name="Chart 1">
          <a:extLst>
            <a:ext uri="{FF2B5EF4-FFF2-40B4-BE49-F238E27FC236}">
              <a16:creationId xmlns:a16="http://schemas.microsoft.com/office/drawing/2014/main" id="{723615A5-FCAA-23BC-CC07-389C123A44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312420</xdr:colOff>
      <xdr:row>7</xdr:row>
      <xdr:rowOff>0</xdr:rowOff>
    </xdr:from>
    <xdr:to>
      <xdr:col>9</xdr:col>
      <xdr:colOff>312420</xdr:colOff>
      <xdr:row>20</xdr:row>
      <xdr:rowOff>89535</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7F2FEC3F-E563-56AF-8B8B-1ED86A8D136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63296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prathipa" refreshedDate="46179.734024999998" createdVersion="8" refreshedVersion="8" minRefreshableVersion="3" recordCount="200" xr:uid="{35A32CE2-5EBA-4879-9793-20000ED8B80C}">
  <cacheSource type="worksheet">
    <worksheetSource name="Table1"/>
  </cacheSource>
  <cacheFields count="8">
    <cacheField name="Date" numFmtId="14">
      <sharedItems containsSemiMixedTypes="0" containsNonDate="0" containsDate="1" containsString="0" minDate="2024-01-01T00:00:00" maxDate="2024-06-30T00:00:00"/>
    </cacheField>
    <cacheField name="Category" numFmtId="0">
      <sharedItems count="8">
        <s v="Shopping"/>
        <s v="Miscellaneous"/>
        <s v="Transportation"/>
        <s v="Food"/>
        <s v="Healthcare"/>
        <s v="Education"/>
        <s v="Entertainment"/>
        <s v="Bills"/>
      </sharedItems>
    </cacheField>
    <cacheField name="Subcategory" numFmtId="0">
      <sharedItems/>
    </cacheField>
    <cacheField name="Description" numFmtId="0">
      <sharedItems/>
    </cacheField>
    <cacheField name="Amount " numFmtId="0">
      <sharedItems containsSemiMixedTypes="0" containsString="0" containsNumber="1" minValue="29.64" maxValue="5667.9" count="198">
        <n v="1097.9000000000001"/>
        <n v="3888.11"/>
        <n v="104.41"/>
        <n v="406.23"/>
        <n v="162.94999999999999"/>
        <n v="587.12"/>
        <n v="2843.2"/>
        <n v="3378.83"/>
        <n v="1589.54"/>
        <n v="52.46"/>
        <n v="60.43"/>
        <n v="1296.47"/>
        <n v="360.64"/>
        <n v="3233.84"/>
        <n v="222.26"/>
        <n v="261.24"/>
        <n v="126.27"/>
        <n v="871.71"/>
        <n v="44.59"/>
        <n v="158.06"/>
        <n v="3611.72"/>
        <n v="1738.18"/>
        <n v="626.30999999999995"/>
        <n v="1134.56"/>
        <n v="417.19"/>
        <n v="685.53"/>
        <n v="85.13"/>
        <n v="948.1"/>
        <n v="1355.97"/>
        <n v="239.77"/>
        <n v="57.08"/>
        <n v="310.94"/>
        <n v="770.58"/>
        <n v="2454.48"/>
        <n v="999.18"/>
        <n v="1834.25"/>
        <n v="758.37"/>
        <n v="40.79"/>
        <n v="2236.63"/>
        <n v="757.69"/>
        <n v="455.44"/>
        <n v="1125.72"/>
        <n v="1350.52"/>
        <n v="1096.4100000000001"/>
        <n v="123.12"/>
        <n v="1123.3499999999999"/>
        <n v="1490.12"/>
        <n v="484.7"/>
        <n v="5213.25"/>
        <n v="1375.06"/>
        <n v="167.5"/>
        <n v="364.61"/>
        <n v="870.75"/>
        <n v="105.75"/>
        <n v="1900.31"/>
        <n v="1038.8900000000001"/>
        <n v="1131.0999999999999"/>
        <n v="4539.18"/>
        <n v="1133.17"/>
        <n v="3997.29"/>
        <n v="2054.4699999999998"/>
        <n v="69.63"/>
        <n v="601"/>
        <n v="710.35"/>
        <n v="1615.11"/>
        <n v="117.89"/>
        <n v="3671.53"/>
        <n v="2676.96"/>
        <n v="3325.67"/>
        <n v="814.62"/>
        <n v="2230.94"/>
        <n v="953.28"/>
        <n v="319.83"/>
        <n v="1440.93"/>
        <n v="2902.36"/>
        <n v="1362.02"/>
        <n v="5667.9"/>
        <n v="4535.59"/>
        <n v="1754.63"/>
        <n v="4139.0200000000004"/>
        <n v="2943.13"/>
        <n v="4045.4"/>
        <n v="1254.03"/>
        <n v="2837.26"/>
        <n v="1663.17"/>
        <n v="3999.63"/>
        <n v="1143.6400000000001"/>
        <n v="395.89"/>
        <n v="287.04000000000002"/>
        <n v="1566.69"/>
        <n v="187.31"/>
        <n v="1350.31"/>
        <n v="480.79"/>
        <n v="359.85"/>
        <n v="214.62"/>
        <n v="3843.93"/>
        <n v="2214.6999999999998"/>
        <n v="3306.42"/>
        <n v="593.91"/>
        <n v="537.78"/>
        <n v="463.63"/>
        <n v="1417.31"/>
        <n v="95.92"/>
        <n v="2768.63"/>
        <n v="1191.06"/>
        <n v="585.08000000000004"/>
        <n v="2240.5"/>
        <n v="883.83"/>
        <n v="423.5"/>
        <n v="3433.74"/>
        <n v="710.1"/>
        <n v="2924.17"/>
        <n v="2624.52"/>
        <n v="1376.01"/>
        <n v="2895.19"/>
        <n v="623.87"/>
        <n v="341.47"/>
        <n v="703.25"/>
        <n v="1138.29"/>
        <n v="169.82"/>
        <n v="1678.38"/>
        <n v="560.82000000000005"/>
        <n v="1079.56"/>
        <n v="3697.17"/>
        <n v="1503.89"/>
        <n v="302.77"/>
        <n v="1693.57"/>
        <n v="3331.89"/>
        <n v="535.30999999999995"/>
        <n v="100.44"/>
        <n v="60.98"/>
        <n v="3665.97"/>
        <n v="2926.06"/>
        <n v="253.97"/>
        <n v="612.02"/>
        <n v="272.18"/>
        <n v="399.73"/>
        <n v="766.58"/>
        <n v="830.16"/>
        <n v="512.85"/>
        <n v="1679.14"/>
        <n v="1423.24"/>
        <n v="1673.65"/>
        <n v="2214.04"/>
        <n v="1302.8399999999999"/>
        <n v="1749.6"/>
        <n v="2071.7399999999998"/>
        <n v="1478.81"/>
        <n v="5243.69"/>
        <n v="453.15"/>
        <n v="4795.88"/>
        <n v="2019.12"/>
        <n v="322.68"/>
        <n v="700.62"/>
        <n v="213.06"/>
        <n v="5143.58"/>
        <n v="1254.05"/>
        <n v="1575.5"/>
        <n v="420.99"/>
        <n v="255.89"/>
        <n v="3280.76"/>
        <n v="1848"/>
        <n v="386.67"/>
        <n v="3597.66"/>
        <n v="351.13"/>
        <n v="1653.24"/>
        <n v="204.65"/>
        <n v="1985.75"/>
        <n v="36.24"/>
        <n v="2436.12"/>
        <n v="1032.76"/>
        <n v="476.34"/>
        <n v="1823.77"/>
        <n v="966.53"/>
        <n v="3207.77"/>
        <n v="1692.33"/>
        <n v="2903.45"/>
        <n v="169.71"/>
        <n v="2346.5500000000002"/>
        <n v="29.64"/>
        <n v="1312.92"/>
        <n v="575.24"/>
        <n v="430.45"/>
        <n v="4088.82"/>
        <n v="342.11"/>
        <n v="4203.63"/>
        <n v="3424.69"/>
        <n v="749.41"/>
        <n v="3326.64"/>
        <n v="583.09"/>
        <n v="1584.61"/>
        <n v="358.03"/>
        <n v="590.69000000000005"/>
        <n v="2405.62"/>
        <n v="305.85000000000002"/>
        <n v="567.47"/>
        <n v="4524.8599999999997"/>
        <n v="1818.98"/>
      </sharedItems>
    </cacheField>
    <cacheField name="Payment Method" numFmtId="0">
      <sharedItems count="6">
        <s v="UPI"/>
        <s v="Cash"/>
        <s v="Debit Card"/>
        <s v="Credit Card"/>
        <s v="Net Banking"/>
        <s v="Auto-debit"/>
      </sharedItems>
    </cacheField>
    <cacheField name="Expense Type" numFmtId="0">
      <sharedItems count="2">
        <s v="Need"/>
        <s v="Want"/>
      </sharedItems>
    </cacheField>
    <cacheField name="Month" numFmtId="0">
      <sharedItems count="6">
        <s v="January"/>
        <s v="February"/>
        <s v="March"/>
        <s v="April"/>
        <s v="May"/>
        <s v="June"/>
      </sharedItems>
    </cacheField>
  </cacheFields>
  <extLst>
    <ext xmlns:x14="http://schemas.microsoft.com/office/spreadsheetml/2009/9/main" uri="{725AE2AE-9491-48be-B2B4-4EB974FC3084}">
      <x14:pivotCacheDefinition pivotCacheId="19417544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prathipa" refreshedDate="46180.046921527777" createdVersion="8" refreshedVersion="8" minRefreshableVersion="3" recordCount="8" xr:uid="{E615EA43-57FF-485D-809C-EE47F56A5A17}">
  <cacheSource type="worksheet">
    <worksheetSource ref="A13:B21" sheet="Q21_Lookup_Table"/>
  </cacheSource>
  <cacheFields count="2">
    <cacheField name="Ccategory List" numFmtId="0">
      <sharedItems count="8">
        <s v="Food"/>
        <s v="Transportation"/>
        <s v="Education"/>
        <s v="Entertainment"/>
        <s v="Shopping"/>
        <s v="Healthcare"/>
        <s v="Bills"/>
        <s v="Miscellaneous"/>
      </sharedItems>
    </cacheField>
    <cacheField name="Category_x000a_Spend" numFmtId="0">
      <sharedItems containsSemiMixedTypes="0" containsString="0" containsNumber="1" minValue="6060.6" maxValue="95972.4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4-01-21T00:00:00"/>
    <x v="0"/>
    <s v="Personal Care"/>
    <s v="Nykaa skincare order"/>
    <x v="0"/>
    <x v="0"/>
    <x v="0"/>
    <x v="0"/>
  </r>
  <r>
    <d v="2024-01-04T00:00:00"/>
    <x v="1"/>
    <s v="Travel"/>
    <s v="Train ticket  home"/>
    <x v="1"/>
    <x v="0"/>
    <x v="1"/>
    <x v="0"/>
  </r>
  <r>
    <d v="2024-01-01T00:00:00"/>
    <x v="2"/>
    <s v="Fuel"/>
    <s v="Fuel refill  bike"/>
    <x v="2"/>
    <x v="1"/>
    <x v="0"/>
    <x v="0"/>
  </r>
  <r>
    <d v="2024-01-24T00:00:00"/>
    <x v="3"/>
    <s v="Meal Prep"/>
    <s v="Protein powder top-up"/>
    <x v="3"/>
    <x v="0"/>
    <x v="0"/>
    <x v="0"/>
  </r>
  <r>
    <d v="2024-01-09T00:00:00"/>
    <x v="4"/>
    <s v="Mental Health"/>
    <s v="Counselling session"/>
    <x v="4"/>
    <x v="0"/>
    <x v="0"/>
    <x v="0"/>
  </r>
  <r>
    <d v="2024-01-08T00:00:00"/>
    <x v="2"/>
    <s v="Vehicle Maintenance"/>
    <s v="Bike service  TVS"/>
    <x v="5"/>
    <x v="2"/>
    <x v="0"/>
    <x v="0"/>
  </r>
  <r>
    <d v="2024-01-08T00:00:00"/>
    <x v="5"/>
    <s v="Books &amp; Stationery"/>
    <s v="Printer paper"/>
    <x v="6"/>
    <x v="3"/>
    <x v="0"/>
    <x v="0"/>
  </r>
  <r>
    <d v="2024-01-05T00:00:00"/>
    <x v="0"/>
    <s v="Gifts"/>
    <s v="Farewell gift pooling"/>
    <x v="7"/>
    <x v="0"/>
    <x v="1"/>
    <x v="0"/>
  </r>
  <r>
    <d v="2024-01-24T00:00:00"/>
    <x v="0"/>
    <s v="Home Essentials"/>
    <s v="Extension cord"/>
    <x v="8"/>
    <x v="1"/>
    <x v="0"/>
    <x v="0"/>
  </r>
  <r>
    <d v="2024-01-04T00:00:00"/>
    <x v="2"/>
    <s v="Ride Share"/>
    <s v="Rapido bike ride"/>
    <x v="9"/>
    <x v="1"/>
    <x v="1"/>
    <x v="0"/>
  </r>
  <r>
    <d v="2024-01-22T00:00:00"/>
    <x v="6"/>
    <s v="Hobbies"/>
    <s v="Cricket bat purchase"/>
    <x v="10"/>
    <x v="3"/>
    <x v="1"/>
    <x v="0"/>
  </r>
  <r>
    <d v="2024-01-24T00:00:00"/>
    <x v="6"/>
    <s v="Movies"/>
    <s v="PVR Cinemas  Avengers"/>
    <x v="11"/>
    <x v="3"/>
    <x v="1"/>
    <x v="0"/>
  </r>
  <r>
    <d v="2024-01-29T00:00:00"/>
    <x v="6"/>
    <s v="Subscriptions"/>
    <s v="Disney+ Hotstar"/>
    <x v="12"/>
    <x v="0"/>
    <x v="1"/>
    <x v="0"/>
  </r>
  <r>
    <d v="2024-01-18T00:00:00"/>
    <x v="1"/>
    <s v="Donations"/>
    <s v="Friend crowdfund"/>
    <x v="13"/>
    <x v="0"/>
    <x v="1"/>
    <x v="0"/>
  </r>
  <r>
    <d v="2024-01-03T00:00:00"/>
    <x v="2"/>
    <s v="Public Transport"/>
    <s v="MTC season ticket"/>
    <x v="14"/>
    <x v="0"/>
    <x v="0"/>
    <x v="0"/>
  </r>
  <r>
    <d v="2024-01-19T00:00:00"/>
    <x v="1"/>
    <s v="Travel"/>
    <s v="Weekend trip  Pondicherry"/>
    <x v="15"/>
    <x v="3"/>
    <x v="1"/>
    <x v="0"/>
  </r>
  <r>
    <d v="2024-01-14T00:00:00"/>
    <x v="2"/>
    <s v="Ride Share"/>
    <s v="Rapido bike ride"/>
    <x v="16"/>
    <x v="0"/>
    <x v="1"/>
    <x v="0"/>
  </r>
  <r>
    <d v="2024-01-02T00:00:00"/>
    <x v="5"/>
    <s v="Exam Fees"/>
    <s v="Gate exam form"/>
    <x v="17"/>
    <x v="3"/>
    <x v="0"/>
    <x v="0"/>
  </r>
  <r>
    <d v="2024-01-01T00:00:00"/>
    <x v="2"/>
    <s v="Vehicle Maintenance"/>
    <s v="Bike service  TVS"/>
    <x v="18"/>
    <x v="2"/>
    <x v="0"/>
    <x v="0"/>
  </r>
  <r>
    <d v="2024-01-03T00:00:00"/>
    <x v="3"/>
    <s v="Groceries"/>
    <s v="Big Basket order"/>
    <x v="19"/>
    <x v="2"/>
    <x v="0"/>
    <x v="0"/>
  </r>
  <r>
    <d v="2024-01-07T00:00:00"/>
    <x v="1"/>
    <s v="Donations"/>
    <s v="Friend crowdfund"/>
    <x v="20"/>
    <x v="0"/>
    <x v="1"/>
    <x v="0"/>
  </r>
  <r>
    <d v="2024-01-08T00:00:00"/>
    <x v="7"/>
    <s v="Mobile Recharge"/>
    <s v="Airtel postpaid bill"/>
    <x v="21"/>
    <x v="2"/>
    <x v="0"/>
    <x v="0"/>
  </r>
  <r>
    <d v="2024-01-17T00:00:00"/>
    <x v="0"/>
    <s v="Home Essentials"/>
    <s v="Bedsheet  Pepperfry"/>
    <x v="22"/>
    <x v="2"/>
    <x v="0"/>
    <x v="0"/>
  </r>
  <r>
    <d v="2024-01-20T00:00:00"/>
    <x v="6"/>
    <s v="Movies"/>
    <s v="PVR Cinemas Avengers"/>
    <x v="23"/>
    <x v="3"/>
    <x v="1"/>
    <x v="0"/>
  </r>
  <r>
    <d v="2024-01-01T00:00:00"/>
    <x v="3"/>
    <s v="Meal Prep"/>
    <s v="Dabba from mess"/>
    <x v="24"/>
    <x v="1"/>
    <x v="0"/>
    <x v="0"/>
  </r>
  <r>
    <d v="2024-01-18T00:00:00"/>
    <x v="3"/>
    <s v="Meal Prep"/>
    <s v="Tiffin service  monthly"/>
    <x v="25"/>
    <x v="0"/>
    <x v="0"/>
    <x v="0"/>
  </r>
  <r>
    <d v="2024-01-07T00:00:00"/>
    <x v="2"/>
    <s v="Ride Share"/>
    <s v="Auto fare  hospital"/>
    <x v="26"/>
    <x v="2"/>
    <x v="1"/>
    <x v="0"/>
  </r>
  <r>
    <d v="2024-01-23T00:00:00"/>
    <x v="6"/>
    <s v="Hobbies"/>
    <s v="Badminton court booking"/>
    <x v="27"/>
    <x v="1"/>
    <x v="1"/>
    <x v="0"/>
  </r>
  <r>
    <d v="2024-01-21T00:00:00"/>
    <x v="4"/>
    <s v="Mental Health"/>
    <s v="Counselling session"/>
    <x v="28"/>
    <x v="3"/>
    <x v="0"/>
    <x v="0"/>
  </r>
  <r>
    <d v="2024-01-23T00:00:00"/>
    <x v="6"/>
    <s v="Subscriptions"/>
    <s v="Disney+ Hotstar"/>
    <x v="29"/>
    <x v="2"/>
    <x v="1"/>
    <x v="0"/>
  </r>
  <r>
    <d v="2024-01-18T00:00:00"/>
    <x v="1"/>
    <s v="Emergency Fund"/>
    <s v="Unexpected repair"/>
    <x v="30"/>
    <x v="1"/>
    <x v="0"/>
    <x v="0"/>
  </r>
  <r>
    <d v="2024-01-14T00:00:00"/>
    <x v="2"/>
    <s v="Parking"/>
    <s v="College parking  month"/>
    <x v="31"/>
    <x v="1"/>
    <x v="0"/>
    <x v="0"/>
  </r>
  <r>
    <d v="2024-01-08T00:00:00"/>
    <x v="4"/>
    <s v="Doctor Visits"/>
    <s v="General physician visit"/>
    <x v="32"/>
    <x v="1"/>
    <x v="0"/>
    <x v="0"/>
  </r>
  <r>
    <d v="2024-02-15T00:00:00"/>
    <x v="1"/>
    <s v="Miscellaneous"/>
    <s v="Vending machine"/>
    <x v="33"/>
    <x v="1"/>
    <x v="1"/>
    <x v="1"/>
  </r>
  <r>
    <d v="2024-02-19T00:00:00"/>
    <x v="0"/>
    <s v="Clothing"/>
    <s v="H&amp;M T-shirts"/>
    <x v="34"/>
    <x v="3"/>
    <x v="1"/>
    <x v="1"/>
  </r>
  <r>
    <d v="2024-02-09T00:00:00"/>
    <x v="5"/>
    <s v="Online Courses"/>
    <s v="NPTEL exam fee"/>
    <x v="35"/>
    <x v="0"/>
    <x v="0"/>
    <x v="1"/>
  </r>
  <r>
    <d v="2024-02-26T00:00:00"/>
    <x v="6"/>
    <s v="Subscriptions"/>
    <s v="JioSaavn"/>
    <x v="36"/>
    <x v="3"/>
    <x v="1"/>
    <x v="1"/>
  </r>
  <r>
    <d v="2024-02-28T00:00:00"/>
    <x v="2"/>
    <s v="Vehicle Maintenance"/>
    <s v="Oil change"/>
    <x v="37"/>
    <x v="0"/>
    <x v="0"/>
    <x v="1"/>
  </r>
  <r>
    <d v="2024-02-01T00:00:00"/>
    <x v="5"/>
    <s v="Online Courses"/>
    <s v="Udemy course Python"/>
    <x v="38"/>
    <x v="2"/>
    <x v="0"/>
    <x v="1"/>
  </r>
  <r>
    <d v="2024-02-25T00:00:00"/>
    <x v="3"/>
    <s v="Groceries"/>
    <s v="Reliance Smart Bazaar"/>
    <x v="39"/>
    <x v="1"/>
    <x v="0"/>
    <x v="1"/>
  </r>
  <r>
    <d v="2024-02-26T00:00:00"/>
    <x v="3"/>
    <s v="Snacks"/>
    <s v="Murukku packet"/>
    <x v="40"/>
    <x v="2"/>
    <x v="0"/>
    <x v="1"/>
  </r>
  <r>
    <d v="2024-02-06T00:00:00"/>
    <x v="5"/>
    <s v="Tuition Fees"/>
    <s v="Lab fee payment"/>
    <x v="41"/>
    <x v="4"/>
    <x v="0"/>
    <x v="1"/>
  </r>
  <r>
    <d v="2024-02-23T00:00:00"/>
    <x v="4"/>
    <s v="Medicines"/>
    <s v="Vitamin D supplements"/>
    <x v="42"/>
    <x v="3"/>
    <x v="0"/>
    <x v="1"/>
  </r>
  <r>
    <d v="2024-02-14T00:00:00"/>
    <x v="7"/>
    <s v="Subscriptions"/>
    <s v="Notion Pro plan"/>
    <x v="43"/>
    <x v="4"/>
    <x v="0"/>
    <x v="1"/>
  </r>
  <r>
    <d v="2024-02-11T00:00:00"/>
    <x v="5"/>
    <s v="Books &amp; Stationery"/>
    <s v="Printer paper"/>
    <x v="44"/>
    <x v="0"/>
    <x v="0"/>
    <x v="1"/>
  </r>
  <r>
    <d v="2024-02-09T00:00:00"/>
    <x v="7"/>
    <s v="Internet"/>
    <s v="BSNL broadband"/>
    <x v="45"/>
    <x v="0"/>
    <x v="0"/>
    <x v="1"/>
  </r>
  <r>
    <d v="2024-02-05T00:00:00"/>
    <x v="7"/>
    <s v="Mobile Recharge"/>
    <s v="Airtel postpaid bill"/>
    <x v="46"/>
    <x v="2"/>
    <x v="0"/>
    <x v="1"/>
  </r>
  <r>
    <d v="2024-02-07T00:00:00"/>
    <x v="4"/>
    <s v="Mental Health"/>
    <s v="Counselling session"/>
    <x v="47"/>
    <x v="1"/>
    <x v="0"/>
    <x v="1"/>
  </r>
  <r>
    <d v="2024-02-25T00:00:00"/>
    <x v="7"/>
    <s v="Electricity"/>
    <s v="Electricity PG room"/>
    <x v="48"/>
    <x v="5"/>
    <x v="0"/>
    <x v="1"/>
  </r>
  <r>
    <d v="2024-02-11T00:00:00"/>
    <x v="4"/>
    <s v="Insurance"/>
    <s v="Two-wheeler insurance"/>
    <x v="49"/>
    <x v="3"/>
    <x v="0"/>
    <x v="1"/>
  </r>
  <r>
    <d v="2024-02-04T00:00:00"/>
    <x v="3"/>
    <s v="Groceries"/>
    <s v="Nilgiris dairy run"/>
    <x v="50"/>
    <x v="3"/>
    <x v="0"/>
    <x v="1"/>
  </r>
  <r>
    <d v="2024-02-03T00:00:00"/>
    <x v="3"/>
    <s v="Groceries"/>
    <s v="Spencer's weekly shop"/>
    <x v="51"/>
    <x v="3"/>
    <x v="0"/>
    <x v="1"/>
  </r>
  <r>
    <d v="2024-02-13T00:00:00"/>
    <x v="7"/>
    <s v="Subscriptions"/>
    <s v="Notion Pro plan"/>
    <x v="52"/>
    <x v="4"/>
    <x v="0"/>
    <x v="1"/>
  </r>
  <r>
    <d v="2024-02-04T00:00:00"/>
    <x v="0"/>
    <s v="Clothing"/>
    <s v="College fest outfit"/>
    <x v="53"/>
    <x v="0"/>
    <x v="1"/>
    <x v="1"/>
  </r>
  <r>
    <d v="2024-02-12T00:00:00"/>
    <x v="4"/>
    <s v="Gym &amp; Fitness"/>
    <s v="Cult.fit monthly pass"/>
    <x v="54"/>
    <x v="3"/>
    <x v="1"/>
    <x v="1"/>
  </r>
  <r>
    <d v="2024-02-28T00:00:00"/>
    <x v="4"/>
    <s v="Doctor Visits"/>
    <s v="Dentist check-up"/>
    <x v="55"/>
    <x v="4"/>
    <x v="0"/>
    <x v="1"/>
  </r>
  <r>
    <d v="2024-02-12T00:00:00"/>
    <x v="4"/>
    <s v="Gym &amp; Fitness"/>
    <s v="Yoga class"/>
    <x v="56"/>
    <x v="1"/>
    <x v="1"/>
    <x v="1"/>
  </r>
  <r>
    <d v="2024-02-20T00:00:00"/>
    <x v="7"/>
    <s v="Rent"/>
    <s v="Shared apartment share"/>
    <x v="57"/>
    <x v="4"/>
    <x v="0"/>
    <x v="1"/>
  </r>
  <r>
    <d v="2024-02-09T00:00:00"/>
    <x v="0"/>
    <s v="Home Essentials"/>
    <s v="Detergent &amp; soap"/>
    <x v="58"/>
    <x v="0"/>
    <x v="0"/>
    <x v="1"/>
  </r>
  <r>
    <d v="2024-02-26T00:00:00"/>
    <x v="7"/>
    <s v="Subscriptions"/>
    <s v="Notion Pro plan"/>
    <x v="59"/>
    <x v="2"/>
    <x v="0"/>
    <x v="1"/>
  </r>
  <r>
    <d v="2024-02-02T00:00:00"/>
    <x v="1"/>
    <s v="Stationery"/>
    <s v="Spiral binding"/>
    <x v="60"/>
    <x v="0"/>
    <x v="0"/>
    <x v="1"/>
  </r>
  <r>
    <d v="2024-02-24T00:00:00"/>
    <x v="2"/>
    <s v="Fuel"/>
    <s v="Petrol for road trip"/>
    <x v="61"/>
    <x v="1"/>
    <x v="0"/>
    <x v="1"/>
  </r>
  <r>
    <d v="2024-02-15T00:00:00"/>
    <x v="0"/>
    <s v="Electronics"/>
    <s v="Zebronics mouse"/>
    <x v="62"/>
    <x v="3"/>
    <x v="1"/>
    <x v="1"/>
  </r>
  <r>
    <d v="2024-02-18T00:00:00"/>
    <x v="6"/>
    <s v="Events"/>
    <s v="College fest tickets"/>
    <x v="63"/>
    <x v="0"/>
    <x v="1"/>
    <x v="1"/>
  </r>
  <r>
    <d v="2024-02-04T00:00:00"/>
    <x v="7"/>
    <s v="Rent"/>
    <s v="Hostel room rent"/>
    <x v="64"/>
    <x v="0"/>
    <x v="0"/>
    <x v="1"/>
  </r>
  <r>
    <d v="2024-02-13T00:00:00"/>
    <x v="2"/>
    <s v="Vehicle Maintenance"/>
    <s v="Tyre puncture repair"/>
    <x v="65"/>
    <x v="2"/>
    <x v="0"/>
    <x v="1"/>
  </r>
  <r>
    <d v="2024-03-03T00:00:00"/>
    <x v="1"/>
    <s v="Travel"/>
    <s v="Kodaikanal road trip share"/>
    <x v="66"/>
    <x v="1"/>
    <x v="1"/>
    <x v="2"/>
  </r>
  <r>
    <d v="2024-03-18T00:00:00"/>
    <x v="1"/>
    <s v="Donations"/>
    <s v="Friend crowdfund"/>
    <x v="67"/>
    <x v="3"/>
    <x v="1"/>
    <x v="2"/>
  </r>
  <r>
    <d v="2024-03-10T00:00:00"/>
    <x v="1"/>
    <s v="Miscellaneous"/>
    <s v="Random online purchase"/>
    <x v="68"/>
    <x v="2"/>
    <x v="1"/>
    <x v="2"/>
  </r>
  <r>
    <d v="2024-03-27T00:00:00"/>
    <x v="5"/>
    <s v="Exam Fees"/>
    <s v="TCS iON test fee"/>
    <x v="69"/>
    <x v="3"/>
    <x v="0"/>
    <x v="2"/>
  </r>
  <r>
    <d v="2024-03-21T00:00:00"/>
    <x v="0"/>
    <s v="Gifts"/>
    <s v="Farewell gift pooling"/>
    <x v="70"/>
    <x v="2"/>
    <x v="1"/>
    <x v="2"/>
  </r>
  <r>
    <d v="2024-03-20T00:00:00"/>
    <x v="1"/>
    <s v="Travel"/>
    <s v="Train ticket home"/>
    <x v="71"/>
    <x v="3"/>
    <x v="1"/>
    <x v="2"/>
  </r>
  <r>
    <d v="2024-03-29T00:00:00"/>
    <x v="4"/>
    <s v="Insurance"/>
    <s v="Health insurance premium"/>
    <x v="72"/>
    <x v="1"/>
    <x v="0"/>
    <x v="2"/>
  </r>
  <r>
    <d v="2024-03-28T00:00:00"/>
    <x v="7"/>
    <s v="Internet"/>
    <s v="Wi-Fi router recharge"/>
    <x v="73"/>
    <x v="2"/>
    <x v="0"/>
    <x v="2"/>
  </r>
  <r>
    <d v="2024-03-12T00:00:00"/>
    <x v="7"/>
    <s v="Electricity"/>
    <s v="Smart meter top-up"/>
    <x v="74"/>
    <x v="0"/>
    <x v="0"/>
    <x v="2"/>
  </r>
  <r>
    <d v="2024-03-19T00:00:00"/>
    <x v="6"/>
    <s v="Events"/>
    <s v="Stand-up comedy"/>
    <x v="75"/>
    <x v="3"/>
    <x v="1"/>
    <x v="2"/>
  </r>
  <r>
    <d v="2024-03-07T00:00:00"/>
    <x v="7"/>
    <s v="Rent"/>
    <s v="PG accommodation fee"/>
    <x v="76"/>
    <x v="5"/>
    <x v="0"/>
    <x v="2"/>
  </r>
  <r>
    <d v="2024-03-23T00:00:00"/>
    <x v="7"/>
    <s v="Rent"/>
    <s v="Shared apartment  share"/>
    <x v="77"/>
    <x v="4"/>
    <x v="0"/>
    <x v="2"/>
  </r>
  <r>
    <d v="2024-03-03T00:00:00"/>
    <x v="1"/>
    <s v="Donations"/>
    <s v="Flood relief fund"/>
    <x v="78"/>
    <x v="1"/>
    <x v="1"/>
    <x v="2"/>
  </r>
  <r>
    <d v="2024-03-02T00:00:00"/>
    <x v="7"/>
    <s v="Electricity"/>
    <s v="Smart meter top-up"/>
    <x v="79"/>
    <x v="2"/>
    <x v="0"/>
    <x v="2"/>
  </r>
  <r>
    <d v="2024-03-22T00:00:00"/>
    <x v="5"/>
    <s v="Exam Fees"/>
    <s v="Gate exam form"/>
    <x v="80"/>
    <x v="4"/>
    <x v="0"/>
    <x v="2"/>
  </r>
  <r>
    <d v="2024-03-08T00:00:00"/>
    <x v="7"/>
    <s v="Subscriptions"/>
    <s v="Notion Pro plan"/>
    <x v="81"/>
    <x v="0"/>
    <x v="0"/>
    <x v="2"/>
  </r>
  <r>
    <d v="2024-03-25T00:00:00"/>
    <x v="7"/>
    <s v="Internet"/>
    <s v="BSNL broadband"/>
    <x v="82"/>
    <x v="5"/>
    <x v="0"/>
    <x v="2"/>
  </r>
  <r>
    <d v="2024-03-10T00:00:00"/>
    <x v="7"/>
    <s v="Electricity"/>
    <s v="EB bill  hostel share"/>
    <x v="83"/>
    <x v="5"/>
    <x v="0"/>
    <x v="2"/>
  </r>
  <r>
    <d v="2024-03-03T00:00:00"/>
    <x v="7"/>
    <s v="Electricity"/>
    <s v="Electricity PG room"/>
    <x v="84"/>
    <x v="0"/>
    <x v="0"/>
    <x v="2"/>
  </r>
  <r>
    <d v="2024-03-28T00:00:00"/>
    <x v="1"/>
    <s v="Travel"/>
    <s v="Weekend trip Pondicherry"/>
    <x v="85"/>
    <x v="3"/>
    <x v="1"/>
    <x v="2"/>
  </r>
  <r>
    <d v="2024-03-08T00:00:00"/>
    <x v="6"/>
    <s v="Movies"/>
    <s v="PVR Cinemas  Avengers"/>
    <x v="86"/>
    <x v="0"/>
    <x v="1"/>
    <x v="2"/>
  </r>
  <r>
    <d v="2024-03-28T00:00:00"/>
    <x v="6"/>
    <s v="Movies"/>
    <s v="SPI Sathyam Tamil film"/>
    <x v="87"/>
    <x v="1"/>
    <x v="1"/>
    <x v="2"/>
  </r>
  <r>
    <d v="2024-03-04T00:00:00"/>
    <x v="2"/>
    <s v="Parking"/>
    <s v="College parking  month"/>
    <x v="88"/>
    <x v="0"/>
    <x v="0"/>
    <x v="2"/>
  </r>
  <r>
    <d v="2024-03-13T00:00:00"/>
    <x v="4"/>
    <s v="Medicines"/>
    <s v="Pharmacy fever meds"/>
    <x v="89"/>
    <x v="1"/>
    <x v="0"/>
    <x v="2"/>
  </r>
  <r>
    <d v="2024-03-09T00:00:00"/>
    <x v="0"/>
    <s v="Clothing"/>
    <s v="Flipkart ethnic wear"/>
    <x v="90"/>
    <x v="2"/>
    <x v="1"/>
    <x v="2"/>
  </r>
  <r>
    <d v="2024-03-15T00:00:00"/>
    <x v="7"/>
    <s v="Rent"/>
    <s v="Shared apartment  share"/>
    <x v="91"/>
    <x v="4"/>
    <x v="0"/>
    <x v="2"/>
  </r>
  <r>
    <d v="2024-03-21T00:00:00"/>
    <x v="2"/>
    <s v="Fuel"/>
    <s v="Petrol  Honda Activa"/>
    <x v="92"/>
    <x v="2"/>
    <x v="0"/>
    <x v="2"/>
  </r>
  <r>
    <d v="2024-03-27T00:00:00"/>
    <x v="3"/>
    <s v="Snacks"/>
    <s v="Murukku packet"/>
    <x v="93"/>
    <x v="3"/>
    <x v="0"/>
    <x v="2"/>
  </r>
  <r>
    <d v="2024-03-12T00:00:00"/>
    <x v="2"/>
    <s v="Parking"/>
    <s v="Parking meter fee"/>
    <x v="94"/>
    <x v="0"/>
    <x v="0"/>
    <x v="2"/>
  </r>
  <r>
    <d v="2024-03-06T00:00:00"/>
    <x v="1"/>
    <s v="Travel"/>
    <s v="Flight  semester break"/>
    <x v="95"/>
    <x v="2"/>
    <x v="1"/>
    <x v="2"/>
  </r>
  <r>
    <d v="2024-03-12T00:00:00"/>
    <x v="5"/>
    <s v="Exam Fees"/>
    <s v="Gate exam form"/>
    <x v="96"/>
    <x v="0"/>
    <x v="0"/>
    <x v="2"/>
  </r>
  <r>
    <d v="2024-03-12T00:00:00"/>
    <x v="1"/>
    <s v="Stationery"/>
    <s v="Ruler &amp; geometry box"/>
    <x v="97"/>
    <x v="3"/>
    <x v="0"/>
    <x v="2"/>
  </r>
  <r>
    <d v="2024-03-07T00:00:00"/>
    <x v="4"/>
    <s v="Medicines"/>
    <s v="Pharmacy  fever meds"/>
    <x v="98"/>
    <x v="4"/>
    <x v="0"/>
    <x v="2"/>
  </r>
  <r>
    <d v="2024-04-22T00:00:00"/>
    <x v="6"/>
    <s v="Events"/>
    <s v="Stand-up comedy"/>
    <x v="99"/>
    <x v="1"/>
    <x v="1"/>
    <x v="3"/>
  </r>
  <r>
    <d v="2024-04-09T00:00:00"/>
    <x v="4"/>
    <s v="Medicines"/>
    <s v="Protein supplements"/>
    <x v="100"/>
    <x v="3"/>
    <x v="0"/>
    <x v="3"/>
  </r>
  <r>
    <d v="2024-04-23T00:00:00"/>
    <x v="4"/>
    <s v="Mental Health"/>
    <s v="Stress-relief workshop"/>
    <x v="101"/>
    <x v="3"/>
    <x v="0"/>
    <x v="3"/>
  </r>
  <r>
    <d v="2024-04-30T00:00:00"/>
    <x v="3"/>
    <s v="Meal Prep"/>
    <s v="Home cook ingredients"/>
    <x v="102"/>
    <x v="2"/>
    <x v="0"/>
    <x v="3"/>
  </r>
  <r>
    <d v="2024-04-22T00:00:00"/>
    <x v="1"/>
    <s v="Miscellaneous"/>
    <s v="Bank charges"/>
    <x v="103"/>
    <x v="2"/>
    <x v="1"/>
    <x v="3"/>
  </r>
  <r>
    <d v="2024-04-21T00:00:00"/>
    <x v="1"/>
    <s v="Travel"/>
    <s v="Weekend trip  Pondicherry"/>
    <x v="104"/>
    <x v="2"/>
    <x v="1"/>
    <x v="3"/>
  </r>
  <r>
    <d v="2024-04-03T00:00:00"/>
    <x v="6"/>
    <s v="Subscriptions"/>
    <s v="JioSaavn"/>
    <x v="105"/>
    <x v="2"/>
    <x v="1"/>
    <x v="3"/>
  </r>
  <r>
    <d v="2024-04-20T00:00:00"/>
    <x v="7"/>
    <s v="Subscriptions"/>
    <s v="iCloud storage 50GB"/>
    <x v="106"/>
    <x v="2"/>
    <x v="0"/>
    <x v="3"/>
  </r>
  <r>
    <d v="2024-04-21T00:00:00"/>
    <x v="0"/>
    <s v="Personal Care"/>
    <s v="The Ordinary serum"/>
    <x v="107"/>
    <x v="0"/>
    <x v="0"/>
    <x v="3"/>
  </r>
  <r>
    <d v="2024-04-06T00:00:00"/>
    <x v="4"/>
    <s v="Doctor Visits"/>
    <s v="General physician visit"/>
    <x v="108"/>
    <x v="4"/>
    <x v="0"/>
    <x v="3"/>
  </r>
  <r>
    <d v="2024-04-18T00:00:00"/>
    <x v="0"/>
    <s v="Gifts"/>
    <s v="Wedding contribution"/>
    <x v="109"/>
    <x v="0"/>
    <x v="1"/>
    <x v="3"/>
  </r>
  <r>
    <d v="2024-04-24T00:00:00"/>
    <x v="0"/>
    <s v="Electronics"/>
    <s v="Pen drive Kingston"/>
    <x v="110"/>
    <x v="3"/>
    <x v="1"/>
    <x v="3"/>
  </r>
  <r>
    <d v="2024-04-08T00:00:00"/>
    <x v="5"/>
    <s v="Online Courses"/>
    <s v="Coursera subscription"/>
    <x v="111"/>
    <x v="0"/>
    <x v="0"/>
    <x v="3"/>
  </r>
  <r>
    <d v="2024-04-06T00:00:00"/>
    <x v="5"/>
    <s v="Exam Fees"/>
    <s v="Gate exam form"/>
    <x v="112"/>
    <x v="0"/>
    <x v="0"/>
    <x v="3"/>
  </r>
  <r>
    <d v="2024-04-15T00:00:00"/>
    <x v="1"/>
    <s v="Stationery"/>
    <s v="Ruler &amp; geometry box"/>
    <x v="113"/>
    <x v="1"/>
    <x v="0"/>
    <x v="3"/>
  </r>
  <r>
    <d v="2024-04-13T00:00:00"/>
    <x v="0"/>
    <s v="Home Essentials"/>
    <s v="Detergent &amp; soap"/>
    <x v="114"/>
    <x v="1"/>
    <x v="0"/>
    <x v="3"/>
  </r>
  <r>
    <d v="2024-04-09T00:00:00"/>
    <x v="1"/>
    <s v="Travel"/>
    <s v="Weekend trip Pondicherry"/>
    <x v="115"/>
    <x v="3"/>
    <x v="1"/>
    <x v="3"/>
  </r>
  <r>
    <d v="2024-04-30T00:00:00"/>
    <x v="2"/>
    <s v="Ride Share"/>
    <s v="Ola cab  college"/>
    <x v="116"/>
    <x v="0"/>
    <x v="1"/>
    <x v="3"/>
  </r>
  <r>
    <d v="2024-04-21T00:00:00"/>
    <x v="6"/>
    <s v="Hobbies"/>
    <s v="Guitar strings"/>
    <x v="117"/>
    <x v="1"/>
    <x v="1"/>
    <x v="3"/>
  </r>
  <r>
    <d v="2024-04-23T00:00:00"/>
    <x v="0"/>
    <s v="Gifts"/>
    <s v="Farewell gift pooling"/>
    <x v="118"/>
    <x v="3"/>
    <x v="1"/>
    <x v="3"/>
  </r>
  <r>
    <d v="2024-04-18T00:00:00"/>
    <x v="2"/>
    <s v="Ride Share"/>
    <s v="Rapido bike ride"/>
    <x v="119"/>
    <x v="1"/>
    <x v="1"/>
    <x v="3"/>
  </r>
  <r>
    <d v="2024-04-08T00:00:00"/>
    <x v="5"/>
    <s v="Books &amp; Stationery"/>
    <s v="Higginbothams reference book"/>
    <x v="120"/>
    <x v="3"/>
    <x v="0"/>
    <x v="3"/>
  </r>
  <r>
    <d v="2024-04-22T00:00:00"/>
    <x v="3"/>
    <s v="Beverages"/>
    <s v="Boost health drink"/>
    <x v="121"/>
    <x v="2"/>
    <x v="1"/>
    <x v="3"/>
  </r>
  <r>
    <d v="2024-04-11T00:00:00"/>
    <x v="0"/>
    <s v="Clothing"/>
    <s v="H&amp;M T-shirts"/>
    <x v="122"/>
    <x v="2"/>
    <x v="1"/>
    <x v="3"/>
  </r>
  <r>
    <d v="2024-04-27T00:00:00"/>
    <x v="1"/>
    <s v="Travel"/>
    <s v="Kodaikanal road trip share"/>
    <x v="123"/>
    <x v="0"/>
    <x v="1"/>
    <x v="3"/>
  </r>
  <r>
    <d v="2024-04-25T00:00:00"/>
    <x v="7"/>
    <s v="Mobile Recharge"/>
    <s v="Vi recharge 28-day"/>
    <x v="124"/>
    <x v="4"/>
    <x v="0"/>
    <x v="3"/>
  </r>
  <r>
    <d v="2024-04-25T00:00:00"/>
    <x v="0"/>
    <s v="Electronics"/>
    <s v="Boat earphones"/>
    <x v="125"/>
    <x v="2"/>
    <x v="1"/>
    <x v="3"/>
  </r>
  <r>
    <d v="2024-04-02T00:00:00"/>
    <x v="0"/>
    <s v="Home Essentials"/>
    <s v="Detergent &amp; soap"/>
    <x v="126"/>
    <x v="2"/>
    <x v="0"/>
    <x v="3"/>
  </r>
  <r>
    <d v="2024-04-08T00:00:00"/>
    <x v="7"/>
    <s v="Electricity"/>
    <s v="Smart meter top-up"/>
    <x v="127"/>
    <x v="2"/>
    <x v="0"/>
    <x v="3"/>
  </r>
  <r>
    <d v="2024-04-27T00:00:00"/>
    <x v="2"/>
    <s v="Parking"/>
    <s v="College parking  month"/>
    <x v="128"/>
    <x v="2"/>
    <x v="0"/>
    <x v="3"/>
  </r>
  <r>
    <d v="2024-04-02T00:00:00"/>
    <x v="4"/>
    <s v="Insurance"/>
    <s v="Two-wheeler insurance"/>
    <x v="129"/>
    <x v="1"/>
    <x v="0"/>
    <x v="3"/>
  </r>
  <r>
    <d v="2024-04-26T00:00:00"/>
    <x v="3"/>
    <s v="Snacks"/>
    <s v="Murukku packet"/>
    <x v="130"/>
    <x v="1"/>
    <x v="0"/>
    <x v="3"/>
  </r>
  <r>
    <d v="2024-04-11T00:00:00"/>
    <x v="1"/>
    <s v="Miscellaneous"/>
    <s v="Random online purchase"/>
    <x v="131"/>
    <x v="0"/>
    <x v="1"/>
    <x v="3"/>
  </r>
  <r>
    <d v="2024-05-13T00:00:00"/>
    <x v="7"/>
    <s v="Rent"/>
    <s v="PG accommodation fee"/>
    <x v="132"/>
    <x v="2"/>
    <x v="0"/>
    <x v="4"/>
  </r>
  <r>
    <d v="2024-05-09T00:00:00"/>
    <x v="4"/>
    <s v="Mental Health"/>
    <s v="Stress-relief workshop"/>
    <x v="133"/>
    <x v="1"/>
    <x v="0"/>
    <x v="4"/>
  </r>
  <r>
    <d v="2024-05-03T00:00:00"/>
    <x v="4"/>
    <s v="Gym &amp; Fitness"/>
    <s v="Zumba session"/>
    <x v="134"/>
    <x v="4"/>
    <x v="1"/>
    <x v="4"/>
  </r>
  <r>
    <d v="2024-05-07T00:00:00"/>
    <x v="3"/>
    <s v="Beverages"/>
    <s v="Cafe latte Starbucks"/>
    <x v="135"/>
    <x v="3"/>
    <x v="1"/>
    <x v="4"/>
  </r>
  <r>
    <d v="2024-05-30T00:00:00"/>
    <x v="2"/>
    <s v="Vehicle Maintenance"/>
    <s v="Bike service  TVS"/>
    <x v="136"/>
    <x v="2"/>
    <x v="0"/>
    <x v="4"/>
  </r>
  <r>
    <d v="2024-05-31T00:00:00"/>
    <x v="1"/>
    <s v="Stationery"/>
    <s v="Printing  assignment"/>
    <x v="137"/>
    <x v="3"/>
    <x v="0"/>
    <x v="4"/>
  </r>
  <r>
    <d v="2024-05-19T00:00:00"/>
    <x v="1"/>
    <s v="Stationery"/>
    <s v="Printing assignment"/>
    <x v="138"/>
    <x v="0"/>
    <x v="0"/>
    <x v="4"/>
  </r>
  <r>
    <d v="2024-05-29T00:00:00"/>
    <x v="0"/>
    <s v="Home Essentials"/>
    <s v="Bedsheet - Pepperfry"/>
    <x v="139"/>
    <x v="0"/>
    <x v="0"/>
    <x v="4"/>
  </r>
  <r>
    <d v="2024-05-23T00:00:00"/>
    <x v="5"/>
    <s v="Online Courses"/>
    <s v="Coursera subscription"/>
    <x v="140"/>
    <x v="4"/>
    <x v="0"/>
    <x v="4"/>
  </r>
  <r>
    <d v="2024-05-11T00:00:00"/>
    <x v="6"/>
    <s v="Movies"/>
    <s v="Netflix DVD plan"/>
    <x v="141"/>
    <x v="0"/>
    <x v="1"/>
    <x v="4"/>
  </r>
  <r>
    <d v="2024-05-07T00:00:00"/>
    <x v="1"/>
    <s v="Emergency Fund"/>
    <s v="Emergency medicine"/>
    <x v="142"/>
    <x v="2"/>
    <x v="0"/>
    <x v="4"/>
  </r>
  <r>
    <d v="2024-05-21T00:00:00"/>
    <x v="1"/>
    <s v="Donations"/>
    <s v="Friend crowdfund"/>
    <x v="143"/>
    <x v="2"/>
    <x v="1"/>
    <x v="4"/>
  </r>
  <r>
    <d v="2024-05-16T00:00:00"/>
    <x v="6"/>
    <s v="Hobbies"/>
    <s v="Cricket bat purchase"/>
    <x v="144"/>
    <x v="2"/>
    <x v="1"/>
    <x v="4"/>
  </r>
  <r>
    <d v="2024-05-13T00:00:00"/>
    <x v="7"/>
    <s v="Electricity"/>
    <s v="Smart meter top-up"/>
    <x v="145"/>
    <x v="0"/>
    <x v="0"/>
    <x v="4"/>
  </r>
  <r>
    <d v="2024-05-29T00:00:00"/>
    <x v="0"/>
    <s v="Personal Care"/>
    <s v="Sunscreen SPF 50"/>
    <x v="146"/>
    <x v="1"/>
    <x v="0"/>
    <x v="4"/>
  </r>
  <r>
    <d v="2024-05-30T00:00:00"/>
    <x v="5"/>
    <s v="Exam Fees"/>
    <s v="Aptitude test fee"/>
    <x v="147"/>
    <x v="0"/>
    <x v="0"/>
    <x v="4"/>
  </r>
  <r>
    <d v="2024-05-21T00:00:00"/>
    <x v="7"/>
    <s v="Rent"/>
    <s v="Hostel room rent"/>
    <x v="148"/>
    <x v="4"/>
    <x v="0"/>
    <x v="4"/>
  </r>
  <r>
    <d v="2024-05-15T00:00:00"/>
    <x v="7"/>
    <s v="Internet"/>
    <s v="BSNL broadband"/>
    <x v="149"/>
    <x v="2"/>
    <x v="0"/>
    <x v="4"/>
  </r>
  <r>
    <d v="2024-05-05T00:00:00"/>
    <x v="7"/>
    <s v="Rent"/>
    <s v="Shared apartment- share"/>
    <x v="150"/>
    <x v="4"/>
    <x v="0"/>
    <x v="4"/>
  </r>
  <r>
    <d v="2024-05-09T00:00:00"/>
    <x v="1"/>
    <s v="Travel"/>
    <s v="Kodaikanal road trip share"/>
    <x v="151"/>
    <x v="3"/>
    <x v="1"/>
    <x v="4"/>
  </r>
  <r>
    <d v="2024-05-05T00:00:00"/>
    <x v="2"/>
    <s v="Vehicle Maintenance"/>
    <s v="Bike service -TVS"/>
    <x v="152"/>
    <x v="0"/>
    <x v="0"/>
    <x v="4"/>
  </r>
  <r>
    <d v="2024-05-08T00:00:00"/>
    <x v="3"/>
    <s v="Dining Out"/>
    <s v="KFC weekend treat"/>
    <x v="153"/>
    <x v="1"/>
    <x v="0"/>
    <x v="4"/>
  </r>
  <r>
    <d v="2024-05-24T00:00:00"/>
    <x v="2"/>
    <s v="Vehicle Maintenance"/>
    <s v="Oil change"/>
    <x v="154"/>
    <x v="2"/>
    <x v="0"/>
    <x v="4"/>
  </r>
  <r>
    <d v="2024-05-18T00:00:00"/>
    <x v="7"/>
    <s v="Mobile Recharge"/>
    <s v="Airtel postpaid bill"/>
    <x v="155"/>
    <x v="2"/>
    <x v="0"/>
    <x v="4"/>
  </r>
  <r>
    <d v="2024-05-18T00:00:00"/>
    <x v="4"/>
    <s v="Gym &amp; Fitness"/>
    <s v="Cult.fit monthly pass"/>
    <x v="156"/>
    <x v="1"/>
    <x v="1"/>
    <x v="4"/>
  </r>
  <r>
    <d v="2024-05-09T00:00:00"/>
    <x v="0"/>
    <s v="Electronics"/>
    <s v="Boat earphones"/>
    <x v="157"/>
    <x v="3"/>
    <x v="1"/>
    <x v="4"/>
  </r>
  <r>
    <d v="2024-05-24T00:00:00"/>
    <x v="2"/>
    <s v="Vehicle Maintenance"/>
    <s v="Tyre puncture repair"/>
    <x v="158"/>
    <x v="1"/>
    <x v="0"/>
    <x v="4"/>
  </r>
  <r>
    <d v="2024-05-19T00:00:00"/>
    <x v="3"/>
    <s v="Snacks"/>
    <s v="Haldiram's pack"/>
    <x v="159"/>
    <x v="3"/>
    <x v="0"/>
    <x v="4"/>
  </r>
  <r>
    <d v="2024-05-14T00:00:00"/>
    <x v="7"/>
    <s v="Internet"/>
    <s v="ACT Fibernet monthly"/>
    <x v="160"/>
    <x v="4"/>
    <x v="0"/>
    <x v="4"/>
  </r>
  <r>
    <d v="2024-05-29T00:00:00"/>
    <x v="5"/>
    <s v="Books &amp; Stationery"/>
    <s v="Amazon-textbook"/>
    <x v="161"/>
    <x v="2"/>
    <x v="0"/>
    <x v="4"/>
  </r>
  <r>
    <d v="2024-05-19T00:00:00"/>
    <x v="6"/>
    <s v="Events"/>
    <s v="Cultural show"/>
    <x v="162"/>
    <x v="2"/>
    <x v="1"/>
    <x v="4"/>
  </r>
  <r>
    <d v="2024-05-13T00:00:00"/>
    <x v="1"/>
    <s v="Emergency Fund"/>
    <s v="Unexpected repair"/>
    <x v="163"/>
    <x v="2"/>
    <x v="0"/>
    <x v="4"/>
  </r>
  <r>
    <d v="2024-05-12T00:00:00"/>
    <x v="0"/>
    <s v="Gifts"/>
    <s v="Anniversary present"/>
    <x v="164"/>
    <x v="2"/>
    <x v="1"/>
    <x v="4"/>
  </r>
  <r>
    <d v="2024-06-08T00:00:00"/>
    <x v="0"/>
    <s v="Home Essentials"/>
    <s v="Extension cord"/>
    <x v="165"/>
    <x v="2"/>
    <x v="0"/>
    <x v="5"/>
  </r>
  <r>
    <d v="2024-06-05T00:00:00"/>
    <x v="6"/>
    <s v="Events"/>
    <s v="Stand-up comedy"/>
    <x v="166"/>
    <x v="1"/>
    <x v="1"/>
    <x v="5"/>
  </r>
  <r>
    <d v="2024-06-17T00:00:00"/>
    <x v="4"/>
    <s v="Insurance"/>
    <s v="Two-wheeler insurance"/>
    <x v="167"/>
    <x v="3"/>
    <x v="0"/>
    <x v="5"/>
  </r>
  <r>
    <d v="2024-06-16T00:00:00"/>
    <x v="3"/>
    <s v="Beverages"/>
    <s v="Tender coconut"/>
    <x v="168"/>
    <x v="0"/>
    <x v="1"/>
    <x v="5"/>
  </r>
  <r>
    <d v="2024-06-03T00:00:00"/>
    <x v="1"/>
    <s v="Emergency Fund"/>
    <s v="Lost wallet replacement"/>
    <x v="169"/>
    <x v="3"/>
    <x v="0"/>
    <x v="5"/>
  </r>
  <r>
    <d v="2024-06-25T00:00:00"/>
    <x v="6"/>
    <s v="Gaming"/>
    <s v="PlayStation Store"/>
    <x v="170"/>
    <x v="0"/>
    <x v="1"/>
    <x v="5"/>
  </r>
  <r>
    <d v="2024-06-02T00:00:00"/>
    <x v="2"/>
    <s v="Public Transport"/>
    <s v="TNSTC bus fare"/>
    <x v="171"/>
    <x v="1"/>
    <x v="0"/>
    <x v="5"/>
  </r>
  <r>
    <d v="2024-06-28T00:00:00"/>
    <x v="4"/>
    <s v="Medicines"/>
    <s v="Pharmacy - fever meds"/>
    <x v="172"/>
    <x v="3"/>
    <x v="0"/>
    <x v="5"/>
  </r>
  <r>
    <d v="2024-06-04T00:00:00"/>
    <x v="7"/>
    <s v="Internet"/>
    <s v="ACT Fibernet monthly"/>
    <x v="173"/>
    <x v="5"/>
    <x v="0"/>
    <x v="5"/>
  </r>
  <r>
    <d v="2024-06-05T00:00:00"/>
    <x v="0"/>
    <s v="Electronics"/>
    <s v="Pen drive - Kingston"/>
    <x v="174"/>
    <x v="1"/>
    <x v="1"/>
    <x v="5"/>
  </r>
  <r>
    <d v="2024-06-21T00:00:00"/>
    <x v="0"/>
    <s v="Personal Care"/>
    <s v="Nykaa skincare order"/>
    <x v="175"/>
    <x v="3"/>
    <x v="0"/>
    <x v="5"/>
  </r>
  <r>
    <d v="2024-06-06T00:00:00"/>
    <x v="5"/>
    <s v="Books &amp; Stationery"/>
    <s v="Printer paper"/>
    <x v="176"/>
    <x v="0"/>
    <x v="0"/>
    <x v="5"/>
  </r>
  <r>
    <d v="2024-06-26T00:00:00"/>
    <x v="2"/>
    <s v="Vehicle Maintenance"/>
    <s v="Bike service - TVS"/>
    <x v="177"/>
    <x v="1"/>
    <x v="0"/>
    <x v="5"/>
  </r>
  <r>
    <d v="2024-06-22T00:00:00"/>
    <x v="1"/>
    <s v="Emergency Fund"/>
    <s v="Emergency medicine"/>
    <x v="178"/>
    <x v="3"/>
    <x v="0"/>
    <x v="5"/>
  </r>
  <r>
    <d v="2024-06-14T00:00:00"/>
    <x v="2"/>
    <s v="Ride Share"/>
    <s v="Auto fare- hospital"/>
    <x v="179"/>
    <x v="2"/>
    <x v="1"/>
    <x v="5"/>
  </r>
  <r>
    <d v="2024-06-20T00:00:00"/>
    <x v="4"/>
    <s v="Insurance"/>
    <s v="Health insurance premium"/>
    <x v="180"/>
    <x v="4"/>
    <x v="0"/>
    <x v="5"/>
  </r>
  <r>
    <d v="2024-06-03T00:00:00"/>
    <x v="0"/>
    <s v="Home Essentials"/>
    <s v="Detergent &amp; soap"/>
    <x v="181"/>
    <x v="3"/>
    <x v="0"/>
    <x v="5"/>
  </r>
  <r>
    <d v="2024-06-13T00:00:00"/>
    <x v="0"/>
    <s v="Home Essentials"/>
    <s v="Detergent &amp; soap"/>
    <x v="182"/>
    <x v="0"/>
    <x v="0"/>
    <x v="5"/>
  </r>
  <r>
    <d v="2024-06-13T00:00:00"/>
    <x v="7"/>
    <s v="Rent"/>
    <s v="Hostel room rent"/>
    <x v="183"/>
    <x v="2"/>
    <x v="0"/>
    <x v="5"/>
  </r>
  <r>
    <d v="2024-06-20T00:00:00"/>
    <x v="5"/>
    <s v="Exam Fees"/>
    <s v="Aptitude test fee"/>
    <x v="184"/>
    <x v="2"/>
    <x v="0"/>
    <x v="5"/>
  </r>
  <r>
    <d v="2024-06-15T00:00:00"/>
    <x v="7"/>
    <s v="Electricity"/>
    <s v="EB bill - hostel share"/>
    <x v="185"/>
    <x v="4"/>
    <x v="0"/>
    <x v="5"/>
  </r>
  <r>
    <d v="2024-06-17T00:00:00"/>
    <x v="1"/>
    <s v="Stationery"/>
    <s v="Spiral binding"/>
    <x v="186"/>
    <x v="1"/>
    <x v="0"/>
    <x v="5"/>
  </r>
  <r>
    <d v="2024-06-09T00:00:00"/>
    <x v="4"/>
    <s v="Insurance"/>
    <s v="Student accident cover"/>
    <x v="187"/>
    <x v="4"/>
    <x v="0"/>
    <x v="5"/>
  </r>
  <r>
    <d v="2024-06-18T00:00:00"/>
    <x v="0"/>
    <s v="Electronics"/>
    <s v="Boat earphones"/>
    <x v="188"/>
    <x v="1"/>
    <x v="1"/>
    <x v="5"/>
  </r>
  <r>
    <d v="2024-06-28T00:00:00"/>
    <x v="2"/>
    <s v="Ride Share"/>
    <s v="Ola outstation"/>
    <x v="189"/>
    <x v="1"/>
    <x v="1"/>
    <x v="5"/>
  </r>
  <r>
    <d v="2024-06-01T00:00:00"/>
    <x v="4"/>
    <s v="Medicines"/>
    <s v="Vitamin D supplements"/>
    <x v="190"/>
    <x v="1"/>
    <x v="0"/>
    <x v="5"/>
  </r>
  <r>
    <d v="2024-06-22T00:00:00"/>
    <x v="2"/>
    <s v="Parking"/>
    <s v="College parking - month"/>
    <x v="191"/>
    <x v="1"/>
    <x v="0"/>
    <x v="5"/>
  </r>
  <r>
    <d v="2024-06-24T00:00:00"/>
    <x v="4"/>
    <s v="Medicines"/>
    <s v="Pharmacy - fever meds"/>
    <x v="192"/>
    <x v="1"/>
    <x v="0"/>
    <x v="5"/>
  </r>
  <r>
    <d v="2024-06-04T00:00:00"/>
    <x v="5"/>
    <s v="Coaching"/>
    <s v="Coding bootcamp deposit"/>
    <x v="193"/>
    <x v="4"/>
    <x v="1"/>
    <x v="5"/>
  </r>
  <r>
    <d v="2024-06-22T00:00:00"/>
    <x v="3"/>
    <s v="Dining Out"/>
    <s v="Zomato order - Biryani"/>
    <x v="194"/>
    <x v="1"/>
    <x v="0"/>
    <x v="5"/>
  </r>
  <r>
    <d v="2024-06-29T00:00:00"/>
    <x v="4"/>
    <s v="Doctor Visits"/>
    <s v="General physician visit"/>
    <x v="195"/>
    <x v="1"/>
    <x v="0"/>
    <x v="5"/>
  </r>
  <r>
    <d v="2024-06-18T00:00:00"/>
    <x v="7"/>
    <s v="Subscriptions"/>
    <s v="Google One storage"/>
    <x v="196"/>
    <x v="2"/>
    <x v="0"/>
    <x v="5"/>
  </r>
  <r>
    <d v="2024-06-25T00:00:00"/>
    <x v="1"/>
    <s v="Emergency Fund"/>
    <s v="Unexpected repair"/>
    <x v="197"/>
    <x v="0"/>
    <x v="0"/>
    <x v="5"/>
  </r>
  <r>
    <d v="2024-06-15T00:00:00"/>
    <x v="4"/>
    <s v="Mental Health"/>
    <s v="Stress-relief workshop"/>
    <x v="133"/>
    <x v="1"/>
    <x v="0"/>
    <x v="4"/>
  </r>
  <r>
    <d v="2024-06-15T00:00:00"/>
    <x v="6"/>
    <s v="Hobbies"/>
    <s v="Guitar strings"/>
    <x v="117"/>
    <x v="1"/>
    <x v="1"/>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6060.6"/>
  </r>
  <r>
    <x v="1"/>
    <n v="6763.8100000000013"/>
  </r>
  <r>
    <x v="2"/>
    <n v="32891.280000000006"/>
  </r>
  <r>
    <x v="3"/>
    <n v="15289.760000000002"/>
  </r>
  <r>
    <x v="4"/>
    <n v="39483.869999999995"/>
  </r>
  <r>
    <x v="5"/>
    <n v="25444.020000000004"/>
  </r>
  <r>
    <x v="6"/>
    <n v="95972.45"/>
  </r>
  <r>
    <x v="7"/>
    <n v="73543.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3A129E-A7A7-48E1-9ECC-F2FDD24911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5" firstHeaderRow="1" firstDataRow="2" firstDataCol="1"/>
  <pivotFields count="8">
    <pivotField numFmtId="14" showAll="0"/>
    <pivotField showAll="0"/>
    <pivotField showAll="0"/>
    <pivotField showAll="0"/>
    <pivotField dataField="1" showAll="0"/>
    <pivotField showAll="0"/>
    <pivotField showAll="0"/>
    <pivotField axis="axisCol" showAll="0">
      <items count="7">
        <item x="0"/>
        <item x="1"/>
        <item x="2"/>
        <item x="3"/>
        <item x="4"/>
        <item x="5"/>
        <item t="default"/>
      </items>
    </pivotField>
  </pivotFields>
  <rowItems count="1">
    <i/>
  </rowItems>
  <colFields count="1">
    <field x="7"/>
  </colFields>
  <colItems count="7">
    <i>
      <x/>
    </i>
    <i>
      <x v="1"/>
    </i>
    <i>
      <x v="2"/>
    </i>
    <i>
      <x v="3"/>
    </i>
    <i>
      <x v="4"/>
    </i>
    <i>
      <x v="5"/>
    </i>
    <i t="grand">
      <x/>
    </i>
  </colItems>
  <dataFields count="1">
    <dataField name="Sum of Amount "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D397BE-5AE3-401A-AF6D-C25E3677BB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8">
    <pivotField numFmtId="14" showAll="0"/>
    <pivotField axis="axisRow" showAll="0">
      <items count="9">
        <item x="7"/>
        <item x="5"/>
        <item x="6"/>
        <item x="3"/>
        <item x="4"/>
        <item x="1"/>
        <item x="0"/>
        <item x="2"/>
        <item t="default"/>
      </items>
    </pivotField>
    <pivotField showAll="0"/>
    <pivotField showAll="0"/>
    <pivotField dataField="1"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Sum of Amount "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F2A0AE-1525-4EE9-A450-44162404B11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H11" firstHeaderRow="1" firstDataRow="2" firstDataCol="1"/>
  <pivotFields count="8">
    <pivotField numFmtId="14" showAll="0"/>
    <pivotField showAll="0"/>
    <pivotField showAll="0"/>
    <pivotField showAll="0"/>
    <pivotField dataField="1" showAll="0">
      <items count="199">
        <item x="179"/>
        <item x="168"/>
        <item x="37"/>
        <item x="18"/>
        <item x="9"/>
        <item x="30"/>
        <item x="10"/>
        <item x="130"/>
        <item x="61"/>
        <item x="26"/>
        <item x="102"/>
        <item x="129"/>
        <item x="2"/>
        <item x="53"/>
        <item x="65"/>
        <item x="44"/>
        <item x="16"/>
        <item x="19"/>
        <item x="4"/>
        <item x="50"/>
        <item x="177"/>
        <item x="119"/>
        <item x="90"/>
        <item x="166"/>
        <item x="154"/>
        <item x="94"/>
        <item x="14"/>
        <item x="29"/>
        <item x="133"/>
        <item x="159"/>
        <item x="15"/>
        <item x="135"/>
        <item x="88"/>
        <item x="125"/>
        <item x="194"/>
        <item x="31"/>
        <item x="72"/>
        <item x="152"/>
        <item x="116"/>
        <item x="184"/>
        <item x="164"/>
        <item x="191"/>
        <item x="93"/>
        <item x="12"/>
        <item x="51"/>
        <item x="162"/>
        <item x="87"/>
        <item x="136"/>
        <item x="3"/>
        <item x="24"/>
        <item x="158"/>
        <item x="108"/>
        <item x="182"/>
        <item x="149"/>
        <item x="40"/>
        <item x="100"/>
        <item x="171"/>
        <item x="92"/>
        <item x="47"/>
        <item x="139"/>
        <item x="128"/>
        <item x="99"/>
        <item x="121"/>
        <item x="195"/>
        <item x="181"/>
        <item x="189"/>
        <item x="105"/>
        <item x="5"/>
        <item x="192"/>
        <item x="98"/>
        <item x="62"/>
        <item x="134"/>
        <item x="115"/>
        <item x="22"/>
        <item x="25"/>
        <item x="153"/>
        <item x="117"/>
        <item x="110"/>
        <item x="63"/>
        <item x="187"/>
        <item x="39"/>
        <item x="36"/>
        <item x="137"/>
        <item x="32"/>
        <item x="69"/>
        <item x="138"/>
        <item x="52"/>
        <item x="17"/>
        <item x="107"/>
        <item x="27"/>
        <item x="71"/>
        <item x="173"/>
        <item x="34"/>
        <item x="170"/>
        <item x="55"/>
        <item x="122"/>
        <item x="43"/>
        <item x="0"/>
        <item x="45"/>
        <item x="41"/>
        <item x="56"/>
        <item x="58"/>
        <item x="23"/>
        <item x="118"/>
        <item x="86"/>
        <item x="104"/>
        <item x="82"/>
        <item x="156"/>
        <item x="11"/>
        <item x="144"/>
        <item x="180"/>
        <item x="91"/>
        <item x="42"/>
        <item x="28"/>
        <item x="75"/>
        <item x="49"/>
        <item x="113"/>
        <item x="101"/>
        <item x="141"/>
        <item x="73"/>
        <item x="147"/>
        <item x="46"/>
        <item x="124"/>
        <item x="89"/>
        <item x="157"/>
        <item x="190"/>
        <item x="8"/>
        <item x="64"/>
        <item x="165"/>
        <item x="84"/>
        <item x="142"/>
        <item x="120"/>
        <item x="140"/>
        <item x="175"/>
        <item x="126"/>
        <item x="21"/>
        <item x="145"/>
        <item x="78"/>
        <item x="197"/>
        <item x="172"/>
        <item x="35"/>
        <item x="161"/>
        <item x="54"/>
        <item x="167"/>
        <item x="151"/>
        <item x="60"/>
        <item x="146"/>
        <item x="143"/>
        <item x="96"/>
        <item x="70"/>
        <item x="38"/>
        <item x="106"/>
        <item x="178"/>
        <item x="193"/>
        <item x="169"/>
        <item x="33"/>
        <item x="112"/>
        <item x="67"/>
        <item x="103"/>
        <item x="83"/>
        <item x="6"/>
        <item x="114"/>
        <item x="74"/>
        <item x="176"/>
        <item x="111"/>
        <item x="132"/>
        <item x="80"/>
        <item x="174"/>
        <item x="13"/>
        <item x="160"/>
        <item x="97"/>
        <item x="68"/>
        <item x="188"/>
        <item x="127"/>
        <item x="7"/>
        <item x="186"/>
        <item x="109"/>
        <item x="163"/>
        <item x="20"/>
        <item x="131"/>
        <item x="66"/>
        <item x="123"/>
        <item x="95"/>
        <item x="1"/>
        <item x="59"/>
        <item x="85"/>
        <item x="81"/>
        <item x="183"/>
        <item x="79"/>
        <item x="185"/>
        <item x="196"/>
        <item x="77"/>
        <item x="57"/>
        <item x="150"/>
        <item x="155"/>
        <item x="48"/>
        <item x="148"/>
        <item x="76"/>
        <item t="default"/>
      </items>
    </pivotField>
    <pivotField axis="axisRow" showAll="0">
      <items count="7">
        <item x="5"/>
        <item x="1"/>
        <item x="3"/>
        <item x="2"/>
        <item x="4"/>
        <item x="0"/>
        <item t="default"/>
      </items>
    </pivotField>
    <pivotField showAll="0">
      <items count="3">
        <item x="0"/>
        <item x="1"/>
        <item t="default"/>
      </items>
    </pivotField>
    <pivotField axis="axisCol" showAll="0">
      <items count="7">
        <item x="0"/>
        <item x="1"/>
        <item x="2"/>
        <item x="3"/>
        <item x="4"/>
        <item x="5"/>
        <item t="default"/>
      </items>
    </pivotField>
  </pivotFields>
  <rowFields count="1">
    <field x="5"/>
  </rowFields>
  <rowItems count="7">
    <i>
      <x/>
    </i>
    <i>
      <x v="1"/>
    </i>
    <i>
      <x v="2"/>
    </i>
    <i>
      <x v="3"/>
    </i>
    <i>
      <x v="4"/>
    </i>
    <i>
      <x v="5"/>
    </i>
    <i t="grand">
      <x/>
    </i>
  </rowItems>
  <colFields count="1">
    <field x="7"/>
  </colFields>
  <colItems count="7">
    <i>
      <x/>
    </i>
    <i>
      <x v="1"/>
    </i>
    <i>
      <x v="2"/>
    </i>
    <i>
      <x v="3"/>
    </i>
    <i>
      <x v="4"/>
    </i>
    <i>
      <x v="5"/>
    </i>
    <i t="grand">
      <x/>
    </i>
  </colItems>
  <dataFields count="1">
    <dataField name="Count of Amount "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8E4F66-A56D-417E-A579-28C49FA45CC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0" firstHeaderRow="1" firstDataRow="1" firstDataCol="1"/>
  <pivotFields count="2">
    <pivotField axis="axisRow" showAll="0">
      <items count="9">
        <item x="6"/>
        <item x="2"/>
        <item x="3"/>
        <item x="0"/>
        <item x="5"/>
        <item x="7"/>
        <item x="4"/>
        <item x="1"/>
        <item t="default"/>
      </items>
    </pivotField>
    <pivotField dataField="1" showAll="0"/>
  </pivotFields>
  <rowFields count="1">
    <field x="0"/>
  </rowFields>
  <rowItems count="9">
    <i>
      <x/>
    </i>
    <i>
      <x v="1"/>
    </i>
    <i>
      <x v="2"/>
    </i>
    <i>
      <x v="3"/>
    </i>
    <i>
      <x v="4"/>
    </i>
    <i>
      <x v="5"/>
    </i>
    <i>
      <x v="6"/>
    </i>
    <i>
      <x v="7"/>
    </i>
    <i t="grand">
      <x/>
    </i>
  </rowItems>
  <colItems count="1">
    <i/>
  </colItems>
  <dataFields count="1">
    <dataField name="Sum of Category_x000a_Spend"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34388A-2CF4-43F1-AEC9-341E22C647B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8">
    <pivotField numFmtId="14" showAll="0"/>
    <pivotField showAll="0"/>
    <pivotField showAll="0"/>
    <pivotField showAll="0"/>
    <pivotField dataField="1" showAll="0"/>
    <pivotField showAll="0"/>
    <pivotField showAll="0"/>
    <pivotField axis="axisRow" showAll="0">
      <items count="7">
        <item h="1" x="0"/>
        <item h="1" x="1"/>
        <item x="2"/>
        <item h="1" x="3"/>
        <item h="1" x="4"/>
        <item h="1" x="5"/>
        <item t="default"/>
      </items>
    </pivotField>
  </pivotFields>
  <rowFields count="1">
    <field x="7"/>
  </rowFields>
  <rowItems count="2">
    <i>
      <x v="2"/>
    </i>
    <i t="grand">
      <x/>
    </i>
  </rowItems>
  <colItems count="1">
    <i/>
  </colItems>
  <dataFields count="1">
    <dataField name="Sum of Amount "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45B203-81F1-41A9-98AA-36D779097CF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 firstHeaderRow="1" firstDataRow="1" firstDataCol="1"/>
  <pivotFields count="8">
    <pivotField numFmtId="14" showAll="0"/>
    <pivotField showAll="0"/>
    <pivotField showAll="0"/>
    <pivotField showAll="0"/>
    <pivotField dataField="1" showAll="0"/>
    <pivotField axis="axisRow" showAll="0">
      <items count="7">
        <item x="5"/>
        <item x="1"/>
        <item x="3"/>
        <item x="2"/>
        <item x="4"/>
        <item x="0"/>
        <item t="default"/>
      </items>
    </pivotField>
    <pivotField showAll="0"/>
    <pivotField showAll="0">
      <items count="7">
        <item h="1" x="0"/>
        <item h="1" x="1"/>
        <item h="1" x="2"/>
        <item h="1" x="3"/>
        <item x="4"/>
        <item h="1" x="5"/>
        <item t="default"/>
      </items>
    </pivotField>
  </pivotFields>
  <rowFields count="1">
    <field x="5"/>
  </rowFields>
  <rowItems count="6">
    <i>
      <x v="1"/>
    </i>
    <i>
      <x v="2"/>
    </i>
    <i>
      <x v="3"/>
    </i>
    <i>
      <x v="4"/>
    </i>
    <i>
      <x v="5"/>
    </i>
    <i t="grand">
      <x/>
    </i>
  </rowItems>
  <colItems count="1">
    <i/>
  </colItems>
  <dataFields count="1">
    <dataField name="Count of Amount "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190CFF-18F7-45B9-9211-168A28CEE7F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 firstHeaderRow="1" firstDataRow="1" firstDataCol="1"/>
  <pivotFields count="8">
    <pivotField numFmtId="14" showAll="0"/>
    <pivotField showAll="0"/>
    <pivotField showAll="0"/>
    <pivotField showAll="0"/>
    <pivotField dataField="1" showAll="0"/>
    <pivotField showAll="0"/>
    <pivotField axis="axisRow" showAll="0">
      <items count="3">
        <item x="0"/>
        <item x="1"/>
        <item t="default"/>
      </items>
    </pivotField>
    <pivotField showAll="0">
      <items count="7">
        <item h="1" x="0"/>
        <item h="1" x="1"/>
        <item h="1" x="2"/>
        <item h="1" x="3"/>
        <item x="4"/>
        <item h="1" x="5"/>
        <item t="default"/>
      </items>
    </pivotField>
  </pivotFields>
  <rowFields count="1">
    <field x="6"/>
  </rowFields>
  <rowItems count="3">
    <i>
      <x/>
    </i>
    <i>
      <x v="1"/>
    </i>
    <i t="grand">
      <x/>
    </i>
  </rowItems>
  <colItems count="1">
    <i/>
  </colItems>
  <dataFields count="1">
    <dataField name="Sum of Amount "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0233BA-A952-4EDF-9390-AD7DA4A1F40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L7" firstHeaderRow="1" firstDataRow="2" firstDataCol="1"/>
  <pivotFields count="8">
    <pivotField numFmtId="14" showAll="0"/>
    <pivotField showAll="0"/>
    <pivotField showAll="0"/>
    <pivotField showAll="0"/>
    <pivotField dataField="1" showAll="0"/>
    <pivotField showAll="0"/>
    <pivotField showAll="0"/>
    <pivotField axis="axisCol" showAll="0">
      <items count="7">
        <item x="0"/>
        <item x="1"/>
        <item x="2"/>
        <item x="3"/>
        <item x="4"/>
        <item x="5"/>
        <item t="default"/>
      </items>
    </pivotField>
  </pivotFields>
  <rowItems count="1">
    <i/>
  </rowItems>
  <colFields count="1">
    <field x="7"/>
  </colFields>
  <colItems count="7">
    <i>
      <x/>
    </i>
    <i>
      <x v="1"/>
    </i>
    <i>
      <x v="2"/>
    </i>
    <i>
      <x v="3"/>
    </i>
    <i>
      <x v="4"/>
    </i>
    <i>
      <x v="5"/>
    </i>
    <i t="grand">
      <x/>
    </i>
  </colItems>
  <dataFields count="1">
    <dataField name="Sum of Amount "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EB36837-602D-4528-94A3-0EE7E7AD93E1}" sourceName="Month">
  <pivotTables>
    <pivotTable tabId="18" name="PivotTable7"/>
  </pivotTables>
  <data>
    <tabular pivotCacheId="1941754428">
      <items count="6">
        <i x="0"/>
        <i x="1"/>
        <i x="2" s="1"/>
        <i x="3"/>
        <i x="4"/>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285D21C4-7180-4F4A-B41A-CF729FBBD402}" sourceName="Month">
  <pivotTables>
    <pivotTable tabId="19" name="PivotTable8"/>
    <pivotTable tabId="20" name="PivotTable9"/>
  </pivotTables>
  <data>
    <tabular pivotCacheId="1941754428">
      <items count="6">
        <i x="0"/>
        <i x="1"/>
        <i x="2"/>
        <i x="3"/>
        <i x="4" s="1"/>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61EFF36-2119-4A7B-91C5-D844BB90AFF8}"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7BA41ADB-EA1A-4C39-A25C-DB8CF9C6DDCE}" cache="Slicer_Month1" caption="Mont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2DF02B47-6FFB-41FD-A2C4-213CC0FB5504}" cache="Slicer_Month1"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F64FB3-41F3-4D34-961E-0F1D737D232E}" name="Table1" displayName="Table1" ref="A1:H201" totalsRowShown="0" headerRowDxfId="9">
  <autoFilter ref="A1:H201" xr:uid="{8AF64FB3-41F3-4D34-961E-0F1D737D232E}"/>
  <tableColumns count="8">
    <tableColumn id="1" xr3:uid="{64935D2E-1D45-44C6-95AA-96DF250DD74A}" name="Date" dataDxfId="8"/>
    <tableColumn id="2" xr3:uid="{4CFAAF67-0407-460C-9E1E-04E39578C200}" name="Category"/>
    <tableColumn id="3" xr3:uid="{47DAF201-FFC7-4414-883C-ADC923567936}" name="Subcategory"/>
    <tableColumn id="4" xr3:uid="{3F7A3A48-38BC-4FD1-8AB3-52931E550C6D}" name="Description"/>
    <tableColumn id="5" xr3:uid="{1D4E2534-D946-4072-A6DE-913F6699B2B2}" name="Amount "/>
    <tableColumn id="6" xr3:uid="{CF5222AE-B423-43BF-B618-36B7D3961B4B}" name="Payment Method"/>
    <tableColumn id="7" xr3:uid="{B5DD942F-F797-4F3F-8FC7-E354E3717A7E}" name="Expense Type"/>
    <tableColumn id="8" xr3:uid="{3775739E-D898-42FB-9151-DC63FBA88DCC}" name="Month"/>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86D10CB-A541-49AC-97E5-889A62C1B894}" name="Table10" displayName="Table10" ref="C3:E33" totalsRowShown="0">
  <autoFilter ref="C3:E33" xr:uid="{786D10CB-A541-49AC-97E5-889A62C1B894}"/>
  <tableColumns count="3">
    <tableColumn id="1" xr3:uid="{24316474-865B-4B64-B633-E20F69FC7E08}" name="S.NO" dataDxfId="7"/>
    <tableColumn id="2" xr3:uid="{567D4C0C-AC1E-429B-B25B-92B8524B6D32}" name="Questions" dataDxfId="6"/>
    <tableColumn id="4" xr3:uid="{8E0F371F-57A6-4F49-A557-C8919E14B706}" name="Answers"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F9BC993-B76D-4C19-8195-3B4159D23283}" name="Table11" displayName="Table11" ref="A10:B13" totalsRowShown="0">
  <autoFilter ref="A10:B13" xr:uid="{3F9BC993-B76D-4C19-8195-3B4159D23283}"/>
  <tableColumns count="2">
    <tableColumn id="1" xr3:uid="{58258E51-F4C5-477C-A1C2-FFCFB72AAB1D}" name="Answers"/>
    <tableColumn id="2" xr3:uid="{DBDAB62B-039E-45A3-825F-4FADA18AF77A}" name="Q: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A5725EC-FF2F-4316-9AFB-E66A227B860E}" name="Table12" displayName="Table12" ref="D5:D6" totalsRowShown="0" headerRowDxfId="4">
  <autoFilter ref="D5:D6" xr:uid="{2A5725EC-FF2F-4316-9AFB-E66A227B860E}"/>
  <tableColumns count="1">
    <tableColumn id="1" xr3:uid="{82BCEB9C-29B4-41C2-A679-C22E4A4E29C6}" name="Ans">
      <calculatedColumnFormula>INDEX(A4:A11,MATCH(MAX(B4:B11),B4:B11,0))</calculatedColumnFormula>
    </tableColumn>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76B46D5-EB6E-4FB4-9AB2-01F7783488FB}" name="Table6" displayName="Table6" ref="F6:H10" totalsRowShown="0">
  <autoFilter ref="F6:H10" xr:uid="{F76B46D5-EB6E-4FB4-9AB2-01F7783488FB}"/>
  <tableColumns count="3">
    <tableColumn id="1" xr3:uid="{D3065F5B-A7F3-4AFB-B0A6-DAB40EFB6138}" name="Threshold"/>
    <tableColumn id="2" xr3:uid="{02C712A0-A02F-4D34-93DA-C0FE77AC7B77}" name="Outlier Count"/>
    <tableColumn id="3" xr3:uid="{B3DF17CB-48AC-4542-A455-3AE5595AB5C6}" name="Outlier Total"/>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24CA145-EEA0-4C94-874D-C29EF5A92B31}" name="Table7" displayName="Table7" ref="O5:O10" totalsRowShown="0" headerRowDxfId="3" dataDxfId="2" dataCellStyle="Percent">
  <autoFilter ref="O5:O10" xr:uid="{C24CA145-EEA0-4C94-874D-C29EF5A92B31}"/>
  <tableColumns count="1">
    <tableColumn id="1" xr3:uid="{969C419D-3FB3-4598-B058-016190D9E685}" name="Standard MoM formula." dataDxfId="1" dataCellStyle="Percent"/>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8D56D9D-7461-4487-AD8F-368E408CE003}" name="Table8" displayName="Table8" ref="E5:G13" totalsRowShown="0">
  <autoFilter ref="E5:G13" xr:uid="{78D56D9D-7461-4487-AD8F-368E408CE003}"/>
  <tableColumns count="3">
    <tableColumn id="1" xr3:uid="{E7F5DB14-4B88-47D0-9772-19BD1BF79AE6}" name="Column1"/>
    <tableColumn id="2" xr3:uid="{8ED5DBD3-CCF4-4A73-B03A-BF14861C750F}" name="Column2"/>
    <tableColumn id="3" xr3:uid="{B8734840-905E-435A-A897-CB0288247969}" name="Column3"/>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B27D8-28A8-4BDF-96C6-6412B10BC6D7}">
  <dimension ref="A1:H202"/>
  <sheetViews>
    <sheetView tabSelected="1" zoomScale="84" zoomScaleNormal="92" workbookViewId="0">
      <selection activeCell="B1" sqref="B1"/>
    </sheetView>
  </sheetViews>
  <sheetFormatPr defaultRowHeight="14.4" x14ac:dyDescent="0.3"/>
  <cols>
    <col min="1" max="1" width="19.21875" customWidth="1"/>
    <col min="2" max="2" width="18.88671875" customWidth="1"/>
    <col min="3" max="3" width="31.88671875" customWidth="1"/>
    <col min="4" max="4" width="32" customWidth="1"/>
    <col min="5" max="5" width="13.44140625" customWidth="1"/>
    <col min="6" max="6" width="14.77734375" customWidth="1"/>
    <col min="7" max="7" width="14.33203125" customWidth="1"/>
    <col min="8" max="8" width="20" customWidth="1"/>
    <col min="11" max="11" width="30.33203125" customWidth="1"/>
  </cols>
  <sheetData>
    <row r="1" spans="1:8" x14ac:dyDescent="0.3">
      <c r="A1" s="2" t="s">
        <v>0</v>
      </c>
      <c r="B1" s="2" t="s">
        <v>1</v>
      </c>
      <c r="C1" s="2" t="s">
        <v>2</v>
      </c>
      <c r="D1" s="2" t="s">
        <v>3</v>
      </c>
      <c r="E1" s="2" t="s">
        <v>4</v>
      </c>
      <c r="F1" s="2" t="s">
        <v>5</v>
      </c>
      <c r="G1" s="2" t="s">
        <v>6</v>
      </c>
      <c r="H1" s="2" t="s">
        <v>7</v>
      </c>
    </row>
    <row r="2" spans="1:8" x14ac:dyDescent="0.3">
      <c r="A2" s="1">
        <v>45312</v>
      </c>
      <c r="B2" t="s">
        <v>8</v>
      </c>
      <c r="C2" t="s">
        <v>9</v>
      </c>
      <c r="D2" t="s">
        <v>10</v>
      </c>
      <c r="E2">
        <v>1097.9000000000001</v>
      </c>
      <c r="F2" t="s">
        <v>11</v>
      </c>
      <c r="G2" t="s">
        <v>12</v>
      </c>
      <c r="H2" t="s">
        <v>13</v>
      </c>
    </row>
    <row r="3" spans="1:8" x14ac:dyDescent="0.3">
      <c r="A3" s="1">
        <v>45295</v>
      </c>
      <c r="B3" t="s">
        <v>14</v>
      </c>
      <c r="C3" t="s">
        <v>15</v>
      </c>
      <c r="D3" t="s">
        <v>16</v>
      </c>
      <c r="E3">
        <v>3888.11</v>
      </c>
      <c r="F3" t="s">
        <v>11</v>
      </c>
      <c r="G3" t="s">
        <v>17</v>
      </c>
      <c r="H3" t="s">
        <v>13</v>
      </c>
    </row>
    <row r="4" spans="1:8" x14ac:dyDescent="0.3">
      <c r="A4" s="1">
        <v>45292</v>
      </c>
      <c r="B4" t="s">
        <v>18</v>
      </c>
      <c r="C4" t="s">
        <v>19</v>
      </c>
      <c r="D4" t="s">
        <v>20</v>
      </c>
      <c r="E4">
        <v>104.41</v>
      </c>
      <c r="F4" t="s">
        <v>21</v>
      </c>
      <c r="G4" t="s">
        <v>12</v>
      </c>
      <c r="H4" t="s">
        <v>13</v>
      </c>
    </row>
    <row r="5" spans="1:8" x14ac:dyDescent="0.3">
      <c r="A5" s="1">
        <v>45315</v>
      </c>
      <c r="B5" t="s">
        <v>22</v>
      </c>
      <c r="C5" t="s">
        <v>23</v>
      </c>
      <c r="D5" t="s">
        <v>24</v>
      </c>
      <c r="E5">
        <v>406.23</v>
      </c>
      <c r="F5" t="s">
        <v>11</v>
      </c>
      <c r="G5" t="s">
        <v>12</v>
      </c>
      <c r="H5" t="s">
        <v>13</v>
      </c>
    </row>
    <row r="6" spans="1:8" x14ac:dyDescent="0.3">
      <c r="A6" s="1">
        <v>45300</v>
      </c>
      <c r="B6" t="s">
        <v>25</v>
      </c>
      <c r="C6" t="s">
        <v>26</v>
      </c>
      <c r="D6" t="s">
        <v>27</v>
      </c>
      <c r="E6">
        <v>162.94999999999999</v>
      </c>
      <c r="F6" t="s">
        <v>11</v>
      </c>
      <c r="G6" t="s">
        <v>12</v>
      </c>
      <c r="H6" t="s">
        <v>13</v>
      </c>
    </row>
    <row r="7" spans="1:8" x14ac:dyDescent="0.3">
      <c r="A7" s="1">
        <v>45299</v>
      </c>
      <c r="B7" t="s">
        <v>18</v>
      </c>
      <c r="C7" t="s">
        <v>28</v>
      </c>
      <c r="D7" t="s">
        <v>29</v>
      </c>
      <c r="E7">
        <v>587.12</v>
      </c>
      <c r="F7" t="s">
        <v>30</v>
      </c>
      <c r="G7" t="s">
        <v>12</v>
      </c>
      <c r="H7" t="s">
        <v>13</v>
      </c>
    </row>
    <row r="8" spans="1:8" x14ac:dyDescent="0.3">
      <c r="A8" s="1">
        <v>45299</v>
      </c>
      <c r="B8" t="s">
        <v>31</v>
      </c>
      <c r="C8" t="s">
        <v>32</v>
      </c>
      <c r="D8" t="s">
        <v>33</v>
      </c>
      <c r="E8">
        <v>2843.2</v>
      </c>
      <c r="F8" t="s">
        <v>34</v>
      </c>
      <c r="G8" t="s">
        <v>12</v>
      </c>
      <c r="H8" t="s">
        <v>13</v>
      </c>
    </row>
    <row r="9" spans="1:8" x14ac:dyDescent="0.3">
      <c r="A9" s="1">
        <v>45296</v>
      </c>
      <c r="B9" t="s">
        <v>8</v>
      </c>
      <c r="C9" t="s">
        <v>35</v>
      </c>
      <c r="D9" t="s">
        <v>36</v>
      </c>
      <c r="E9">
        <v>3378.83</v>
      </c>
      <c r="F9" t="s">
        <v>11</v>
      </c>
      <c r="G9" t="s">
        <v>17</v>
      </c>
      <c r="H9" t="s">
        <v>13</v>
      </c>
    </row>
    <row r="10" spans="1:8" x14ac:dyDescent="0.3">
      <c r="A10" s="1">
        <v>45315</v>
      </c>
      <c r="B10" t="s">
        <v>8</v>
      </c>
      <c r="C10" t="s">
        <v>37</v>
      </c>
      <c r="D10" t="s">
        <v>38</v>
      </c>
      <c r="E10">
        <v>1589.54</v>
      </c>
      <c r="F10" t="s">
        <v>21</v>
      </c>
      <c r="G10" t="s">
        <v>12</v>
      </c>
      <c r="H10" t="s">
        <v>13</v>
      </c>
    </row>
    <row r="11" spans="1:8" x14ac:dyDescent="0.3">
      <c r="A11" s="1">
        <v>45295</v>
      </c>
      <c r="B11" t="s">
        <v>18</v>
      </c>
      <c r="C11" t="s">
        <v>39</v>
      </c>
      <c r="D11" t="s">
        <v>40</v>
      </c>
      <c r="E11">
        <v>52.46</v>
      </c>
      <c r="F11" t="s">
        <v>21</v>
      </c>
      <c r="G11" t="s">
        <v>17</v>
      </c>
      <c r="H11" t="s">
        <v>13</v>
      </c>
    </row>
    <row r="12" spans="1:8" x14ac:dyDescent="0.3">
      <c r="A12" s="1">
        <v>45313</v>
      </c>
      <c r="B12" t="s">
        <v>41</v>
      </c>
      <c r="C12" t="s">
        <v>42</v>
      </c>
      <c r="D12" t="s">
        <v>43</v>
      </c>
      <c r="E12">
        <v>60.43</v>
      </c>
      <c r="F12" t="s">
        <v>34</v>
      </c>
      <c r="G12" t="s">
        <v>17</v>
      </c>
      <c r="H12" t="s">
        <v>13</v>
      </c>
    </row>
    <row r="13" spans="1:8" x14ac:dyDescent="0.3">
      <c r="A13" s="1">
        <v>45315</v>
      </c>
      <c r="B13" t="s">
        <v>41</v>
      </c>
      <c r="C13" t="s">
        <v>44</v>
      </c>
      <c r="D13" t="s">
        <v>45</v>
      </c>
      <c r="E13">
        <v>1296.47</v>
      </c>
      <c r="F13" t="s">
        <v>34</v>
      </c>
      <c r="G13" t="s">
        <v>17</v>
      </c>
      <c r="H13" t="s">
        <v>13</v>
      </c>
    </row>
    <row r="14" spans="1:8" x14ac:dyDescent="0.3">
      <c r="A14" s="1">
        <v>45320</v>
      </c>
      <c r="B14" t="s">
        <v>41</v>
      </c>
      <c r="C14" t="s">
        <v>46</v>
      </c>
      <c r="D14" t="s">
        <v>47</v>
      </c>
      <c r="E14">
        <v>360.64</v>
      </c>
      <c r="F14" t="s">
        <v>11</v>
      </c>
      <c r="G14" t="s">
        <v>17</v>
      </c>
      <c r="H14" t="s">
        <v>13</v>
      </c>
    </row>
    <row r="15" spans="1:8" x14ac:dyDescent="0.3">
      <c r="A15" s="1">
        <v>45309</v>
      </c>
      <c r="B15" t="s">
        <v>14</v>
      </c>
      <c r="C15" t="s">
        <v>48</v>
      </c>
      <c r="D15" t="s">
        <v>49</v>
      </c>
      <c r="E15">
        <v>3233.84</v>
      </c>
      <c r="F15" t="s">
        <v>11</v>
      </c>
      <c r="G15" t="s">
        <v>17</v>
      </c>
      <c r="H15" t="s">
        <v>13</v>
      </c>
    </row>
    <row r="16" spans="1:8" x14ac:dyDescent="0.3">
      <c r="A16" s="1">
        <v>45294</v>
      </c>
      <c r="B16" t="s">
        <v>18</v>
      </c>
      <c r="C16" t="s">
        <v>50</v>
      </c>
      <c r="D16" t="s">
        <v>51</v>
      </c>
      <c r="E16">
        <v>222.26</v>
      </c>
      <c r="F16" t="s">
        <v>11</v>
      </c>
      <c r="G16" t="s">
        <v>12</v>
      </c>
      <c r="H16" t="s">
        <v>13</v>
      </c>
    </row>
    <row r="17" spans="1:8" x14ac:dyDescent="0.3">
      <c r="A17" s="1">
        <v>45310</v>
      </c>
      <c r="B17" t="s">
        <v>14</v>
      </c>
      <c r="C17" t="s">
        <v>15</v>
      </c>
      <c r="D17" t="s">
        <v>52</v>
      </c>
      <c r="E17">
        <v>261.24</v>
      </c>
      <c r="F17" t="s">
        <v>34</v>
      </c>
      <c r="G17" t="s">
        <v>17</v>
      </c>
      <c r="H17" t="s">
        <v>13</v>
      </c>
    </row>
    <row r="18" spans="1:8" x14ac:dyDescent="0.3">
      <c r="A18" s="1">
        <v>45305</v>
      </c>
      <c r="B18" t="s">
        <v>18</v>
      </c>
      <c r="C18" t="s">
        <v>39</v>
      </c>
      <c r="D18" t="s">
        <v>40</v>
      </c>
      <c r="E18">
        <v>126.27</v>
      </c>
      <c r="F18" t="s">
        <v>11</v>
      </c>
      <c r="G18" t="s">
        <v>17</v>
      </c>
      <c r="H18" t="s">
        <v>13</v>
      </c>
    </row>
    <row r="19" spans="1:8" x14ac:dyDescent="0.3">
      <c r="A19" s="1">
        <v>45293</v>
      </c>
      <c r="B19" t="s">
        <v>31</v>
      </c>
      <c r="C19" t="s">
        <v>53</v>
      </c>
      <c r="D19" t="s">
        <v>54</v>
      </c>
      <c r="E19">
        <v>871.71</v>
      </c>
      <c r="F19" t="s">
        <v>34</v>
      </c>
      <c r="G19" t="s">
        <v>12</v>
      </c>
      <c r="H19" t="s">
        <v>13</v>
      </c>
    </row>
    <row r="20" spans="1:8" x14ac:dyDescent="0.3">
      <c r="A20" s="1">
        <v>45292</v>
      </c>
      <c r="B20" t="s">
        <v>18</v>
      </c>
      <c r="C20" t="s">
        <v>28</v>
      </c>
      <c r="D20" t="s">
        <v>29</v>
      </c>
      <c r="E20">
        <v>44.59</v>
      </c>
      <c r="F20" t="s">
        <v>30</v>
      </c>
      <c r="G20" t="s">
        <v>12</v>
      </c>
      <c r="H20" t="s">
        <v>13</v>
      </c>
    </row>
    <row r="21" spans="1:8" x14ac:dyDescent="0.3">
      <c r="A21" s="1">
        <v>45294</v>
      </c>
      <c r="B21" t="s">
        <v>22</v>
      </c>
      <c r="C21" t="s">
        <v>55</v>
      </c>
      <c r="D21" t="s">
        <v>56</v>
      </c>
      <c r="E21">
        <v>158.06</v>
      </c>
      <c r="F21" t="s">
        <v>30</v>
      </c>
      <c r="G21" t="s">
        <v>12</v>
      </c>
      <c r="H21" t="s">
        <v>13</v>
      </c>
    </row>
    <row r="22" spans="1:8" x14ac:dyDescent="0.3">
      <c r="A22" s="1">
        <v>45298</v>
      </c>
      <c r="B22" t="s">
        <v>14</v>
      </c>
      <c r="C22" t="s">
        <v>48</v>
      </c>
      <c r="D22" t="s">
        <v>49</v>
      </c>
      <c r="E22">
        <v>3611.72</v>
      </c>
      <c r="F22" t="s">
        <v>11</v>
      </c>
      <c r="G22" t="s">
        <v>17</v>
      </c>
      <c r="H22" t="s">
        <v>13</v>
      </c>
    </row>
    <row r="23" spans="1:8" x14ac:dyDescent="0.3">
      <c r="A23" s="1">
        <v>45299</v>
      </c>
      <c r="B23" t="s">
        <v>57</v>
      </c>
      <c r="C23" t="s">
        <v>58</v>
      </c>
      <c r="D23" t="s">
        <v>59</v>
      </c>
      <c r="E23">
        <v>1738.18</v>
      </c>
      <c r="F23" t="s">
        <v>30</v>
      </c>
      <c r="G23" t="s">
        <v>12</v>
      </c>
      <c r="H23" t="s">
        <v>13</v>
      </c>
    </row>
    <row r="24" spans="1:8" x14ac:dyDescent="0.3">
      <c r="A24" s="1">
        <v>45308</v>
      </c>
      <c r="B24" t="s">
        <v>8</v>
      </c>
      <c r="C24" t="s">
        <v>37</v>
      </c>
      <c r="D24" t="s">
        <v>60</v>
      </c>
      <c r="E24">
        <v>626.30999999999995</v>
      </c>
      <c r="F24" t="s">
        <v>30</v>
      </c>
      <c r="G24" t="s">
        <v>12</v>
      </c>
      <c r="H24" t="s">
        <v>13</v>
      </c>
    </row>
    <row r="25" spans="1:8" x14ac:dyDescent="0.3">
      <c r="A25" s="1">
        <v>45311</v>
      </c>
      <c r="B25" t="s">
        <v>41</v>
      </c>
      <c r="C25" t="s">
        <v>44</v>
      </c>
      <c r="D25" t="s">
        <v>61</v>
      </c>
      <c r="E25">
        <v>1134.56</v>
      </c>
      <c r="F25" t="s">
        <v>34</v>
      </c>
      <c r="G25" t="s">
        <v>17</v>
      </c>
      <c r="H25" t="s">
        <v>13</v>
      </c>
    </row>
    <row r="26" spans="1:8" x14ac:dyDescent="0.3">
      <c r="A26" s="1">
        <v>45292</v>
      </c>
      <c r="B26" t="s">
        <v>22</v>
      </c>
      <c r="C26" t="s">
        <v>23</v>
      </c>
      <c r="D26" t="s">
        <v>62</v>
      </c>
      <c r="E26">
        <v>417.19</v>
      </c>
      <c r="F26" t="s">
        <v>21</v>
      </c>
      <c r="G26" t="s">
        <v>12</v>
      </c>
      <c r="H26" t="s">
        <v>13</v>
      </c>
    </row>
    <row r="27" spans="1:8" x14ac:dyDescent="0.3">
      <c r="A27" s="1">
        <v>45309</v>
      </c>
      <c r="B27" t="s">
        <v>22</v>
      </c>
      <c r="C27" t="s">
        <v>23</v>
      </c>
      <c r="D27" t="s">
        <v>63</v>
      </c>
      <c r="E27">
        <v>685.53</v>
      </c>
      <c r="F27" t="s">
        <v>11</v>
      </c>
      <c r="G27" t="s">
        <v>12</v>
      </c>
      <c r="H27" t="s">
        <v>13</v>
      </c>
    </row>
    <row r="28" spans="1:8" x14ac:dyDescent="0.3">
      <c r="A28" s="1">
        <v>45298</v>
      </c>
      <c r="B28" t="s">
        <v>18</v>
      </c>
      <c r="C28" t="s">
        <v>39</v>
      </c>
      <c r="D28" t="s">
        <v>64</v>
      </c>
      <c r="E28">
        <v>85.13</v>
      </c>
      <c r="F28" t="s">
        <v>30</v>
      </c>
      <c r="G28" t="s">
        <v>17</v>
      </c>
      <c r="H28" t="s">
        <v>13</v>
      </c>
    </row>
    <row r="29" spans="1:8" x14ac:dyDescent="0.3">
      <c r="A29" s="1">
        <v>45314</v>
      </c>
      <c r="B29" t="s">
        <v>41</v>
      </c>
      <c r="C29" t="s">
        <v>42</v>
      </c>
      <c r="D29" t="s">
        <v>65</v>
      </c>
      <c r="E29">
        <v>948.1</v>
      </c>
      <c r="F29" t="s">
        <v>21</v>
      </c>
      <c r="G29" t="s">
        <v>17</v>
      </c>
      <c r="H29" t="s">
        <v>13</v>
      </c>
    </row>
    <row r="30" spans="1:8" x14ac:dyDescent="0.3">
      <c r="A30" s="1">
        <v>45312</v>
      </c>
      <c r="B30" t="s">
        <v>25</v>
      </c>
      <c r="C30" t="s">
        <v>26</v>
      </c>
      <c r="D30" t="s">
        <v>27</v>
      </c>
      <c r="E30">
        <v>1355.97</v>
      </c>
      <c r="F30" t="s">
        <v>34</v>
      </c>
      <c r="G30" t="s">
        <v>12</v>
      </c>
      <c r="H30" t="s">
        <v>13</v>
      </c>
    </row>
    <row r="31" spans="1:8" x14ac:dyDescent="0.3">
      <c r="A31" s="1">
        <v>45314</v>
      </c>
      <c r="B31" t="s">
        <v>41</v>
      </c>
      <c r="C31" t="s">
        <v>46</v>
      </c>
      <c r="D31" t="s">
        <v>47</v>
      </c>
      <c r="E31">
        <v>239.77</v>
      </c>
      <c r="F31" t="s">
        <v>30</v>
      </c>
      <c r="G31" t="s">
        <v>17</v>
      </c>
      <c r="H31" t="s">
        <v>13</v>
      </c>
    </row>
    <row r="32" spans="1:8" x14ac:dyDescent="0.3">
      <c r="A32" s="1">
        <v>45309</v>
      </c>
      <c r="B32" t="s">
        <v>14</v>
      </c>
      <c r="C32" t="s">
        <v>66</v>
      </c>
      <c r="D32" t="s">
        <v>67</v>
      </c>
      <c r="E32">
        <v>57.08</v>
      </c>
      <c r="F32" t="s">
        <v>21</v>
      </c>
      <c r="G32" t="s">
        <v>12</v>
      </c>
      <c r="H32" t="s">
        <v>13</v>
      </c>
    </row>
    <row r="33" spans="1:8" x14ac:dyDescent="0.3">
      <c r="A33" s="1">
        <v>45305</v>
      </c>
      <c r="B33" t="s">
        <v>18</v>
      </c>
      <c r="C33" t="s">
        <v>68</v>
      </c>
      <c r="D33" t="s">
        <v>69</v>
      </c>
      <c r="E33">
        <v>310.94</v>
      </c>
      <c r="F33" t="s">
        <v>21</v>
      </c>
      <c r="G33" t="s">
        <v>12</v>
      </c>
      <c r="H33" t="s">
        <v>13</v>
      </c>
    </row>
    <row r="34" spans="1:8" x14ac:dyDescent="0.3">
      <c r="A34" s="1">
        <v>45299</v>
      </c>
      <c r="B34" t="s">
        <v>25</v>
      </c>
      <c r="C34" t="s">
        <v>70</v>
      </c>
      <c r="D34" t="s">
        <v>71</v>
      </c>
      <c r="E34">
        <v>770.58</v>
      </c>
      <c r="F34" t="s">
        <v>21</v>
      </c>
      <c r="G34" t="s">
        <v>12</v>
      </c>
      <c r="H34" t="s">
        <v>13</v>
      </c>
    </row>
    <row r="35" spans="1:8" x14ac:dyDescent="0.3">
      <c r="A35" s="1">
        <v>45337</v>
      </c>
      <c r="B35" t="s">
        <v>14</v>
      </c>
      <c r="C35" t="s">
        <v>14</v>
      </c>
      <c r="D35" t="s">
        <v>72</v>
      </c>
      <c r="E35">
        <v>2454.48</v>
      </c>
      <c r="F35" t="s">
        <v>21</v>
      </c>
      <c r="G35" t="s">
        <v>17</v>
      </c>
      <c r="H35" t="s">
        <v>73</v>
      </c>
    </row>
    <row r="36" spans="1:8" x14ac:dyDescent="0.3">
      <c r="A36" s="1">
        <v>45341</v>
      </c>
      <c r="B36" t="s">
        <v>8</v>
      </c>
      <c r="C36" t="s">
        <v>74</v>
      </c>
      <c r="D36" t="s">
        <v>75</v>
      </c>
      <c r="E36">
        <v>999.18</v>
      </c>
      <c r="F36" t="s">
        <v>34</v>
      </c>
      <c r="G36" t="s">
        <v>17</v>
      </c>
      <c r="H36" t="s">
        <v>73</v>
      </c>
    </row>
    <row r="37" spans="1:8" x14ac:dyDescent="0.3">
      <c r="A37" s="1">
        <v>45331</v>
      </c>
      <c r="B37" t="s">
        <v>31</v>
      </c>
      <c r="C37" t="s">
        <v>76</v>
      </c>
      <c r="D37" t="s">
        <v>77</v>
      </c>
      <c r="E37">
        <v>1834.25</v>
      </c>
      <c r="F37" t="s">
        <v>11</v>
      </c>
      <c r="G37" t="s">
        <v>12</v>
      </c>
      <c r="H37" t="s">
        <v>73</v>
      </c>
    </row>
    <row r="38" spans="1:8" x14ac:dyDescent="0.3">
      <c r="A38" s="1">
        <v>45348</v>
      </c>
      <c r="B38" t="s">
        <v>41</v>
      </c>
      <c r="C38" t="s">
        <v>46</v>
      </c>
      <c r="D38" t="s">
        <v>78</v>
      </c>
      <c r="E38">
        <v>758.37</v>
      </c>
      <c r="F38" t="s">
        <v>34</v>
      </c>
      <c r="G38" t="s">
        <v>17</v>
      </c>
      <c r="H38" t="s">
        <v>73</v>
      </c>
    </row>
    <row r="39" spans="1:8" x14ac:dyDescent="0.3">
      <c r="A39" s="1">
        <v>45350</v>
      </c>
      <c r="B39" t="s">
        <v>18</v>
      </c>
      <c r="C39" t="s">
        <v>28</v>
      </c>
      <c r="D39" t="s">
        <v>79</v>
      </c>
      <c r="E39">
        <v>40.79</v>
      </c>
      <c r="F39" t="s">
        <v>11</v>
      </c>
      <c r="G39" t="s">
        <v>12</v>
      </c>
      <c r="H39" t="s">
        <v>73</v>
      </c>
    </row>
    <row r="40" spans="1:8" x14ac:dyDescent="0.3">
      <c r="A40" s="1">
        <v>45323</v>
      </c>
      <c r="B40" t="s">
        <v>31</v>
      </c>
      <c r="C40" t="s">
        <v>76</v>
      </c>
      <c r="D40" t="s">
        <v>80</v>
      </c>
      <c r="E40">
        <v>2236.63</v>
      </c>
      <c r="F40" t="s">
        <v>30</v>
      </c>
      <c r="G40" t="s">
        <v>12</v>
      </c>
      <c r="H40" t="s">
        <v>73</v>
      </c>
    </row>
    <row r="41" spans="1:8" x14ac:dyDescent="0.3">
      <c r="A41" s="1">
        <v>45347</v>
      </c>
      <c r="B41" t="s">
        <v>22</v>
      </c>
      <c r="C41" t="s">
        <v>55</v>
      </c>
      <c r="D41" t="s">
        <v>81</v>
      </c>
      <c r="E41">
        <v>757.69</v>
      </c>
      <c r="F41" t="s">
        <v>21</v>
      </c>
      <c r="G41" t="s">
        <v>12</v>
      </c>
      <c r="H41" t="s">
        <v>73</v>
      </c>
    </row>
    <row r="42" spans="1:8" x14ac:dyDescent="0.3">
      <c r="A42" s="1">
        <v>45348</v>
      </c>
      <c r="B42" t="s">
        <v>22</v>
      </c>
      <c r="C42" t="s">
        <v>82</v>
      </c>
      <c r="D42" t="s">
        <v>83</v>
      </c>
      <c r="E42">
        <v>455.44</v>
      </c>
      <c r="F42" t="s">
        <v>30</v>
      </c>
      <c r="G42" t="s">
        <v>12</v>
      </c>
      <c r="H42" t="s">
        <v>73</v>
      </c>
    </row>
    <row r="43" spans="1:8" x14ac:dyDescent="0.3">
      <c r="A43" s="1">
        <v>45328</v>
      </c>
      <c r="B43" t="s">
        <v>31</v>
      </c>
      <c r="C43" t="s">
        <v>84</v>
      </c>
      <c r="D43" t="s">
        <v>85</v>
      </c>
      <c r="E43">
        <v>1125.72</v>
      </c>
      <c r="F43" t="s">
        <v>86</v>
      </c>
      <c r="G43" t="s">
        <v>12</v>
      </c>
      <c r="H43" t="s">
        <v>73</v>
      </c>
    </row>
    <row r="44" spans="1:8" x14ac:dyDescent="0.3">
      <c r="A44" s="1">
        <v>45345</v>
      </c>
      <c r="B44" t="s">
        <v>25</v>
      </c>
      <c r="C44" t="s">
        <v>87</v>
      </c>
      <c r="D44" t="s">
        <v>88</v>
      </c>
      <c r="E44">
        <v>1350.52</v>
      </c>
      <c r="F44" t="s">
        <v>34</v>
      </c>
      <c r="G44" t="s">
        <v>12</v>
      </c>
      <c r="H44" t="s">
        <v>73</v>
      </c>
    </row>
    <row r="45" spans="1:8" x14ac:dyDescent="0.3">
      <c r="A45" s="1">
        <v>45336</v>
      </c>
      <c r="B45" t="s">
        <v>57</v>
      </c>
      <c r="C45" t="s">
        <v>46</v>
      </c>
      <c r="D45" t="s">
        <v>89</v>
      </c>
      <c r="E45">
        <v>1096.4100000000001</v>
      </c>
      <c r="F45" t="s">
        <v>86</v>
      </c>
      <c r="G45" t="s">
        <v>12</v>
      </c>
      <c r="H45" t="s">
        <v>73</v>
      </c>
    </row>
    <row r="46" spans="1:8" x14ac:dyDescent="0.3">
      <c r="A46" s="1">
        <v>45333</v>
      </c>
      <c r="B46" t="s">
        <v>31</v>
      </c>
      <c r="C46" t="s">
        <v>32</v>
      </c>
      <c r="D46" t="s">
        <v>33</v>
      </c>
      <c r="E46">
        <v>123.12</v>
      </c>
      <c r="F46" t="s">
        <v>11</v>
      </c>
      <c r="G46" t="s">
        <v>12</v>
      </c>
      <c r="H46" t="s">
        <v>73</v>
      </c>
    </row>
    <row r="47" spans="1:8" x14ac:dyDescent="0.3">
      <c r="A47" s="1">
        <v>45331</v>
      </c>
      <c r="B47" t="s">
        <v>57</v>
      </c>
      <c r="C47" t="s">
        <v>90</v>
      </c>
      <c r="D47" t="s">
        <v>91</v>
      </c>
      <c r="E47">
        <v>1123.3499999999999</v>
      </c>
      <c r="F47" t="s">
        <v>11</v>
      </c>
      <c r="G47" t="s">
        <v>12</v>
      </c>
      <c r="H47" t="s">
        <v>73</v>
      </c>
    </row>
    <row r="48" spans="1:8" x14ac:dyDescent="0.3">
      <c r="A48" s="1">
        <v>45327</v>
      </c>
      <c r="B48" t="s">
        <v>57</v>
      </c>
      <c r="C48" t="s">
        <v>58</v>
      </c>
      <c r="D48" t="s">
        <v>59</v>
      </c>
      <c r="E48">
        <v>1490.12</v>
      </c>
      <c r="F48" t="s">
        <v>30</v>
      </c>
      <c r="G48" t="s">
        <v>12</v>
      </c>
      <c r="H48" t="s">
        <v>73</v>
      </c>
    </row>
    <row r="49" spans="1:8" x14ac:dyDescent="0.3">
      <c r="A49" s="1">
        <v>45329</v>
      </c>
      <c r="B49" t="s">
        <v>25</v>
      </c>
      <c r="C49" t="s">
        <v>26</v>
      </c>
      <c r="D49" t="s">
        <v>27</v>
      </c>
      <c r="E49">
        <v>484.7</v>
      </c>
      <c r="F49" t="s">
        <v>21</v>
      </c>
      <c r="G49" t="s">
        <v>12</v>
      </c>
      <c r="H49" t="s">
        <v>73</v>
      </c>
    </row>
    <row r="50" spans="1:8" x14ac:dyDescent="0.3">
      <c r="A50" s="1">
        <v>45347</v>
      </c>
      <c r="B50" t="s">
        <v>57</v>
      </c>
      <c r="C50" t="s">
        <v>92</v>
      </c>
      <c r="D50" t="s">
        <v>93</v>
      </c>
      <c r="E50">
        <v>5213.25</v>
      </c>
      <c r="F50" t="s">
        <v>94</v>
      </c>
      <c r="G50" t="s">
        <v>12</v>
      </c>
      <c r="H50" t="s">
        <v>73</v>
      </c>
    </row>
    <row r="51" spans="1:8" x14ac:dyDescent="0.3">
      <c r="A51" s="1">
        <v>45333</v>
      </c>
      <c r="B51" t="s">
        <v>25</v>
      </c>
      <c r="C51" t="s">
        <v>95</v>
      </c>
      <c r="D51" t="s">
        <v>96</v>
      </c>
      <c r="E51">
        <v>1375.06</v>
      </c>
      <c r="F51" t="s">
        <v>34</v>
      </c>
      <c r="G51" t="s">
        <v>12</v>
      </c>
      <c r="H51" t="s">
        <v>73</v>
      </c>
    </row>
    <row r="52" spans="1:8" x14ac:dyDescent="0.3">
      <c r="A52" s="1">
        <v>45326</v>
      </c>
      <c r="B52" t="s">
        <v>22</v>
      </c>
      <c r="C52" t="s">
        <v>55</v>
      </c>
      <c r="D52" t="s">
        <v>97</v>
      </c>
      <c r="E52">
        <v>167.5</v>
      </c>
      <c r="F52" t="s">
        <v>34</v>
      </c>
      <c r="G52" t="s">
        <v>12</v>
      </c>
      <c r="H52" t="s">
        <v>73</v>
      </c>
    </row>
    <row r="53" spans="1:8" x14ac:dyDescent="0.3">
      <c r="A53" s="1">
        <v>45325</v>
      </c>
      <c r="B53" t="s">
        <v>22</v>
      </c>
      <c r="C53" t="s">
        <v>55</v>
      </c>
      <c r="D53" t="s">
        <v>98</v>
      </c>
      <c r="E53">
        <v>364.61</v>
      </c>
      <c r="F53" t="s">
        <v>34</v>
      </c>
      <c r="G53" t="s">
        <v>12</v>
      </c>
      <c r="H53" t="s">
        <v>73</v>
      </c>
    </row>
    <row r="54" spans="1:8" x14ac:dyDescent="0.3">
      <c r="A54" s="1">
        <v>45335</v>
      </c>
      <c r="B54" t="s">
        <v>57</v>
      </c>
      <c r="C54" t="s">
        <v>46</v>
      </c>
      <c r="D54" t="s">
        <v>89</v>
      </c>
      <c r="E54">
        <v>870.75</v>
      </c>
      <c r="F54" t="s">
        <v>86</v>
      </c>
      <c r="G54" t="s">
        <v>12</v>
      </c>
      <c r="H54" t="s">
        <v>73</v>
      </c>
    </row>
    <row r="55" spans="1:8" x14ac:dyDescent="0.3">
      <c r="A55" s="1">
        <v>45326</v>
      </c>
      <c r="B55" t="s">
        <v>8</v>
      </c>
      <c r="C55" t="s">
        <v>74</v>
      </c>
      <c r="D55" t="s">
        <v>99</v>
      </c>
      <c r="E55">
        <v>105.75</v>
      </c>
      <c r="F55" t="s">
        <v>11</v>
      </c>
      <c r="G55" t="s">
        <v>17</v>
      </c>
      <c r="H55" t="s">
        <v>73</v>
      </c>
    </row>
    <row r="56" spans="1:8" x14ac:dyDescent="0.3">
      <c r="A56" s="1">
        <v>45334</v>
      </c>
      <c r="B56" t="s">
        <v>25</v>
      </c>
      <c r="C56" t="s">
        <v>100</v>
      </c>
      <c r="D56" t="s">
        <v>101</v>
      </c>
      <c r="E56">
        <v>1900.31</v>
      </c>
      <c r="F56" t="s">
        <v>34</v>
      </c>
      <c r="G56" t="s">
        <v>17</v>
      </c>
      <c r="H56" t="s">
        <v>73</v>
      </c>
    </row>
    <row r="57" spans="1:8" x14ac:dyDescent="0.3">
      <c r="A57" s="1">
        <v>45350</v>
      </c>
      <c r="B57" t="s">
        <v>25</v>
      </c>
      <c r="C57" t="s">
        <v>70</v>
      </c>
      <c r="D57" t="s">
        <v>102</v>
      </c>
      <c r="E57">
        <v>1038.8900000000001</v>
      </c>
      <c r="F57" t="s">
        <v>86</v>
      </c>
      <c r="G57" t="s">
        <v>12</v>
      </c>
      <c r="H57" t="s">
        <v>73</v>
      </c>
    </row>
    <row r="58" spans="1:8" x14ac:dyDescent="0.3">
      <c r="A58" s="1">
        <v>45334</v>
      </c>
      <c r="B58" t="s">
        <v>25</v>
      </c>
      <c r="C58" t="s">
        <v>100</v>
      </c>
      <c r="D58" t="s">
        <v>103</v>
      </c>
      <c r="E58">
        <v>1131.0999999999999</v>
      </c>
      <c r="F58" t="s">
        <v>21</v>
      </c>
      <c r="G58" t="s">
        <v>17</v>
      </c>
      <c r="H58" t="s">
        <v>73</v>
      </c>
    </row>
    <row r="59" spans="1:8" x14ac:dyDescent="0.3">
      <c r="A59" s="1">
        <v>45342</v>
      </c>
      <c r="B59" t="s">
        <v>57</v>
      </c>
      <c r="C59" t="s">
        <v>104</v>
      </c>
      <c r="D59" t="s">
        <v>105</v>
      </c>
      <c r="E59">
        <v>4539.18</v>
      </c>
      <c r="F59" t="s">
        <v>86</v>
      </c>
      <c r="G59" t="s">
        <v>12</v>
      </c>
      <c r="H59" t="s">
        <v>73</v>
      </c>
    </row>
    <row r="60" spans="1:8" x14ac:dyDescent="0.3">
      <c r="A60" s="1">
        <v>45331</v>
      </c>
      <c r="B60" t="s">
        <v>8</v>
      </c>
      <c r="C60" t="s">
        <v>37</v>
      </c>
      <c r="D60" t="s">
        <v>106</v>
      </c>
      <c r="E60">
        <v>1133.17</v>
      </c>
      <c r="F60" t="s">
        <v>11</v>
      </c>
      <c r="G60" t="s">
        <v>12</v>
      </c>
      <c r="H60" t="s">
        <v>73</v>
      </c>
    </row>
    <row r="61" spans="1:8" x14ac:dyDescent="0.3">
      <c r="A61" s="1">
        <v>45348</v>
      </c>
      <c r="B61" t="s">
        <v>57</v>
      </c>
      <c r="C61" t="s">
        <v>46</v>
      </c>
      <c r="D61" t="s">
        <v>89</v>
      </c>
      <c r="E61">
        <v>3997.29</v>
      </c>
      <c r="F61" t="s">
        <v>30</v>
      </c>
      <c r="G61" t="s">
        <v>12</v>
      </c>
      <c r="H61" t="s">
        <v>73</v>
      </c>
    </row>
    <row r="62" spans="1:8" x14ac:dyDescent="0.3">
      <c r="A62" s="1">
        <v>45324</v>
      </c>
      <c r="B62" t="s">
        <v>14</v>
      </c>
      <c r="C62" t="s">
        <v>107</v>
      </c>
      <c r="D62" t="s">
        <v>108</v>
      </c>
      <c r="E62">
        <v>2054.4699999999998</v>
      </c>
      <c r="F62" t="s">
        <v>11</v>
      </c>
      <c r="G62" t="s">
        <v>12</v>
      </c>
      <c r="H62" t="s">
        <v>73</v>
      </c>
    </row>
    <row r="63" spans="1:8" x14ac:dyDescent="0.3">
      <c r="A63" s="1">
        <v>45346</v>
      </c>
      <c r="B63" t="s">
        <v>18</v>
      </c>
      <c r="C63" t="s">
        <v>19</v>
      </c>
      <c r="D63" t="s">
        <v>109</v>
      </c>
      <c r="E63">
        <v>69.63</v>
      </c>
      <c r="F63" t="s">
        <v>21</v>
      </c>
      <c r="G63" t="s">
        <v>12</v>
      </c>
      <c r="H63" t="s">
        <v>73</v>
      </c>
    </row>
    <row r="64" spans="1:8" x14ac:dyDescent="0.3">
      <c r="A64" s="1">
        <v>45337</v>
      </c>
      <c r="B64" t="s">
        <v>8</v>
      </c>
      <c r="C64" t="s">
        <v>110</v>
      </c>
      <c r="D64" t="s">
        <v>111</v>
      </c>
      <c r="E64">
        <v>601</v>
      </c>
      <c r="F64" t="s">
        <v>34</v>
      </c>
      <c r="G64" t="s">
        <v>17</v>
      </c>
      <c r="H64" t="s">
        <v>73</v>
      </c>
    </row>
    <row r="65" spans="1:8" x14ac:dyDescent="0.3">
      <c r="A65" s="1">
        <v>45340</v>
      </c>
      <c r="B65" t="s">
        <v>41</v>
      </c>
      <c r="C65" t="s">
        <v>112</v>
      </c>
      <c r="D65" t="s">
        <v>113</v>
      </c>
      <c r="E65">
        <v>710.35</v>
      </c>
      <c r="F65" t="s">
        <v>11</v>
      </c>
      <c r="G65" t="s">
        <v>17</v>
      </c>
      <c r="H65" t="s">
        <v>73</v>
      </c>
    </row>
    <row r="66" spans="1:8" x14ac:dyDescent="0.3">
      <c r="A66" s="1">
        <v>45326</v>
      </c>
      <c r="B66" t="s">
        <v>57</v>
      </c>
      <c r="C66" t="s">
        <v>104</v>
      </c>
      <c r="D66" t="s">
        <v>114</v>
      </c>
      <c r="E66">
        <v>1615.11</v>
      </c>
      <c r="F66" t="s">
        <v>11</v>
      </c>
      <c r="G66" t="s">
        <v>12</v>
      </c>
      <c r="H66" t="s">
        <v>73</v>
      </c>
    </row>
    <row r="67" spans="1:8" x14ac:dyDescent="0.3">
      <c r="A67" s="1">
        <v>45335</v>
      </c>
      <c r="B67" t="s">
        <v>18</v>
      </c>
      <c r="C67" t="s">
        <v>28</v>
      </c>
      <c r="D67" t="s">
        <v>115</v>
      </c>
      <c r="E67">
        <v>117.89</v>
      </c>
      <c r="F67" t="s">
        <v>30</v>
      </c>
      <c r="G67" t="s">
        <v>12</v>
      </c>
      <c r="H67" t="s">
        <v>73</v>
      </c>
    </row>
    <row r="68" spans="1:8" x14ac:dyDescent="0.3">
      <c r="A68" s="1">
        <v>45354</v>
      </c>
      <c r="B68" t="s">
        <v>14</v>
      </c>
      <c r="C68" t="s">
        <v>15</v>
      </c>
      <c r="D68" t="s">
        <v>116</v>
      </c>
      <c r="E68">
        <v>3671.53</v>
      </c>
      <c r="F68" t="s">
        <v>21</v>
      </c>
      <c r="G68" t="s">
        <v>17</v>
      </c>
      <c r="H68" t="s">
        <v>117</v>
      </c>
    </row>
    <row r="69" spans="1:8" x14ac:dyDescent="0.3">
      <c r="A69" s="1">
        <v>45369</v>
      </c>
      <c r="B69" t="s">
        <v>14</v>
      </c>
      <c r="C69" t="s">
        <v>48</v>
      </c>
      <c r="D69" t="s">
        <v>49</v>
      </c>
      <c r="E69">
        <v>2676.96</v>
      </c>
      <c r="F69" t="s">
        <v>34</v>
      </c>
      <c r="G69" t="s">
        <v>17</v>
      </c>
      <c r="H69" t="s">
        <v>117</v>
      </c>
    </row>
    <row r="70" spans="1:8" x14ac:dyDescent="0.3">
      <c r="A70" s="1">
        <v>45361</v>
      </c>
      <c r="B70" t="s">
        <v>14</v>
      </c>
      <c r="C70" t="s">
        <v>14</v>
      </c>
      <c r="D70" t="s">
        <v>118</v>
      </c>
      <c r="E70">
        <v>3325.67</v>
      </c>
      <c r="F70" t="s">
        <v>30</v>
      </c>
      <c r="G70" t="s">
        <v>17</v>
      </c>
      <c r="H70" t="s">
        <v>117</v>
      </c>
    </row>
    <row r="71" spans="1:8" x14ac:dyDescent="0.3">
      <c r="A71" s="1">
        <v>45378</v>
      </c>
      <c r="B71" t="s">
        <v>31</v>
      </c>
      <c r="C71" t="s">
        <v>53</v>
      </c>
      <c r="D71" t="s">
        <v>119</v>
      </c>
      <c r="E71">
        <v>814.62</v>
      </c>
      <c r="F71" t="s">
        <v>34</v>
      </c>
      <c r="G71" t="s">
        <v>12</v>
      </c>
      <c r="H71" t="s">
        <v>117</v>
      </c>
    </row>
    <row r="72" spans="1:8" x14ac:dyDescent="0.3">
      <c r="A72" s="1">
        <v>45372</v>
      </c>
      <c r="B72" t="s">
        <v>8</v>
      </c>
      <c r="C72" t="s">
        <v>35</v>
      </c>
      <c r="D72" t="s">
        <v>36</v>
      </c>
      <c r="E72">
        <v>2230.94</v>
      </c>
      <c r="F72" t="s">
        <v>30</v>
      </c>
      <c r="G72" t="s">
        <v>17</v>
      </c>
      <c r="H72" t="s">
        <v>117</v>
      </c>
    </row>
    <row r="73" spans="1:8" x14ac:dyDescent="0.3">
      <c r="A73" s="1">
        <v>45371</v>
      </c>
      <c r="B73" t="s">
        <v>14</v>
      </c>
      <c r="C73" t="s">
        <v>15</v>
      </c>
      <c r="D73" t="s">
        <v>120</v>
      </c>
      <c r="E73">
        <v>953.28</v>
      </c>
      <c r="F73" t="s">
        <v>34</v>
      </c>
      <c r="G73" t="s">
        <v>17</v>
      </c>
      <c r="H73" t="s">
        <v>117</v>
      </c>
    </row>
    <row r="74" spans="1:8" x14ac:dyDescent="0.3">
      <c r="A74" s="1">
        <v>45380</v>
      </c>
      <c r="B74" t="s">
        <v>25</v>
      </c>
      <c r="C74" t="s">
        <v>95</v>
      </c>
      <c r="D74" t="s">
        <v>121</v>
      </c>
      <c r="E74">
        <v>319.83</v>
      </c>
      <c r="F74" t="s">
        <v>21</v>
      </c>
      <c r="G74" t="s">
        <v>12</v>
      </c>
      <c r="H74" t="s">
        <v>117</v>
      </c>
    </row>
    <row r="75" spans="1:8" x14ac:dyDescent="0.3">
      <c r="A75" s="1">
        <v>45379</v>
      </c>
      <c r="B75" t="s">
        <v>57</v>
      </c>
      <c r="C75" t="s">
        <v>90</v>
      </c>
      <c r="D75" t="s">
        <v>122</v>
      </c>
      <c r="E75">
        <v>1440.93</v>
      </c>
      <c r="F75" t="s">
        <v>30</v>
      </c>
      <c r="G75" t="s">
        <v>12</v>
      </c>
      <c r="H75" t="s">
        <v>117</v>
      </c>
    </row>
    <row r="76" spans="1:8" x14ac:dyDescent="0.3">
      <c r="A76" s="1">
        <v>45363</v>
      </c>
      <c r="B76" t="s">
        <v>57</v>
      </c>
      <c r="C76" t="s">
        <v>92</v>
      </c>
      <c r="D76" t="s">
        <v>123</v>
      </c>
      <c r="E76">
        <v>2902.36</v>
      </c>
      <c r="F76" t="s">
        <v>11</v>
      </c>
      <c r="G76" t="s">
        <v>12</v>
      </c>
      <c r="H76" t="s">
        <v>117</v>
      </c>
    </row>
    <row r="77" spans="1:8" x14ac:dyDescent="0.3">
      <c r="A77" s="1">
        <v>45370</v>
      </c>
      <c r="B77" t="s">
        <v>41</v>
      </c>
      <c r="C77" t="s">
        <v>112</v>
      </c>
      <c r="D77" t="s">
        <v>124</v>
      </c>
      <c r="E77">
        <v>1362.02</v>
      </c>
      <c r="F77" t="s">
        <v>34</v>
      </c>
      <c r="G77" t="s">
        <v>17</v>
      </c>
      <c r="H77" t="s">
        <v>117</v>
      </c>
    </row>
    <row r="78" spans="1:8" x14ac:dyDescent="0.3">
      <c r="A78" s="1">
        <v>45358</v>
      </c>
      <c r="B78" t="s">
        <v>57</v>
      </c>
      <c r="C78" t="s">
        <v>104</v>
      </c>
      <c r="D78" t="s">
        <v>125</v>
      </c>
      <c r="E78">
        <v>5667.9</v>
      </c>
      <c r="F78" t="s">
        <v>94</v>
      </c>
      <c r="G78" t="s">
        <v>12</v>
      </c>
      <c r="H78" t="s">
        <v>117</v>
      </c>
    </row>
    <row r="79" spans="1:8" x14ac:dyDescent="0.3">
      <c r="A79" s="1">
        <v>45374</v>
      </c>
      <c r="B79" t="s">
        <v>57</v>
      </c>
      <c r="C79" t="s">
        <v>104</v>
      </c>
      <c r="D79" t="s">
        <v>126</v>
      </c>
      <c r="E79">
        <v>4535.59</v>
      </c>
      <c r="F79" t="s">
        <v>86</v>
      </c>
      <c r="G79" t="s">
        <v>12</v>
      </c>
      <c r="H79" t="s">
        <v>117</v>
      </c>
    </row>
    <row r="80" spans="1:8" x14ac:dyDescent="0.3">
      <c r="A80" s="1">
        <v>45354</v>
      </c>
      <c r="B80" t="s">
        <v>14</v>
      </c>
      <c r="C80" t="s">
        <v>48</v>
      </c>
      <c r="D80" t="s">
        <v>127</v>
      </c>
      <c r="E80">
        <v>1754.63</v>
      </c>
      <c r="F80" t="s">
        <v>21</v>
      </c>
      <c r="G80" t="s">
        <v>17</v>
      </c>
      <c r="H80" t="s">
        <v>117</v>
      </c>
    </row>
    <row r="81" spans="1:8" x14ac:dyDescent="0.3">
      <c r="A81" s="1">
        <v>45353</v>
      </c>
      <c r="B81" t="s">
        <v>57</v>
      </c>
      <c r="C81" t="s">
        <v>92</v>
      </c>
      <c r="D81" t="s">
        <v>123</v>
      </c>
      <c r="E81">
        <v>4139.0200000000004</v>
      </c>
      <c r="F81" t="s">
        <v>30</v>
      </c>
      <c r="G81" t="s">
        <v>12</v>
      </c>
      <c r="H81" t="s">
        <v>117</v>
      </c>
    </row>
    <row r="82" spans="1:8" x14ac:dyDescent="0.3">
      <c r="A82" s="1">
        <v>45373</v>
      </c>
      <c r="B82" t="s">
        <v>31</v>
      </c>
      <c r="C82" t="s">
        <v>53</v>
      </c>
      <c r="D82" t="s">
        <v>54</v>
      </c>
      <c r="E82">
        <v>2943.13</v>
      </c>
      <c r="F82" t="s">
        <v>86</v>
      </c>
      <c r="G82" t="s">
        <v>12</v>
      </c>
      <c r="H82" t="s">
        <v>117</v>
      </c>
    </row>
    <row r="83" spans="1:8" x14ac:dyDescent="0.3">
      <c r="A83" s="1">
        <v>45359</v>
      </c>
      <c r="B83" t="s">
        <v>57</v>
      </c>
      <c r="C83" t="s">
        <v>46</v>
      </c>
      <c r="D83" t="s">
        <v>89</v>
      </c>
      <c r="E83">
        <v>4045.4</v>
      </c>
      <c r="F83" t="s">
        <v>11</v>
      </c>
      <c r="G83" t="s">
        <v>12</v>
      </c>
      <c r="H83" t="s">
        <v>117</v>
      </c>
    </row>
    <row r="84" spans="1:8" x14ac:dyDescent="0.3">
      <c r="A84" s="1">
        <v>45376</v>
      </c>
      <c r="B84" t="s">
        <v>57</v>
      </c>
      <c r="C84" t="s">
        <v>90</v>
      </c>
      <c r="D84" t="s">
        <v>91</v>
      </c>
      <c r="E84">
        <v>1254.03</v>
      </c>
      <c r="F84" t="s">
        <v>94</v>
      </c>
      <c r="G84" t="s">
        <v>12</v>
      </c>
      <c r="H84" t="s">
        <v>117</v>
      </c>
    </row>
    <row r="85" spans="1:8" x14ac:dyDescent="0.3">
      <c r="A85" s="1">
        <v>45361</v>
      </c>
      <c r="B85" t="s">
        <v>57</v>
      </c>
      <c r="C85" t="s">
        <v>92</v>
      </c>
      <c r="D85" t="s">
        <v>128</v>
      </c>
      <c r="E85">
        <v>2837.26</v>
      </c>
      <c r="F85" t="s">
        <v>94</v>
      </c>
      <c r="G85" t="s">
        <v>12</v>
      </c>
      <c r="H85" t="s">
        <v>117</v>
      </c>
    </row>
    <row r="86" spans="1:8" x14ac:dyDescent="0.3">
      <c r="A86" s="1">
        <v>45354</v>
      </c>
      <c r="B86" t="s">
        <v>57</v>
      </c>
      <c r="C86" t="s">
        <v>92</v>
      </c>
      <c r="D86" t="s">
        <v>93</v>
      </c>
      <c r="E86">
        <v>1663.17</v>
      </c>
      <c r="F86" t="s">
        <v>11</v>
      </c>
      <c r="G86" t="s">
        <v>12</v>
      </c>
      <c r="H86" t="s">
        <v>117</v>
      </c>
    </row>
    <row r="87" spans="1:8" x14ac:dyDescent="0.3">
      <c r="A87" s="1">
        <v>45379</v>
      </c>
      <c r="B87" t="s">
        <v>14</v>
      </c>
      <c r="C87" t="s">
        <v>15</v>
      </c>
      <c r="D87" t="s">
        <v>129</v>
      </c>
      <c r="E87">
        <v>3999.63</v>
      </c>
      <c r="F87" t="s">
        <v>34</v>
      </c>
      <c r="G87" t="s">
        <v>17</v>
      </c>
      <c r="H87" t="s">
        <v>117</v>
      </c>
    </row>
    <row r="88" spans="1:8" x14ac:dyDescent="0.3">
      <c r="A88" s="1">
        <v>45359</v>
      </c>
      <c r="B88" t="s">
        <v>41</v>
      </c>
      <c r="C88" t="s">
        <v>44</v>
      </c>
      <c r="D88" t="s">
        <v>45</v>
      </c>
      <c r="E88">
        <v>1143.6400000000001</v>
      </c>
      <c r="F88" t="s">
        <v>11</v>
      </c>
      <c r="G88" t="s">
        <v>17</v>
      </c>
      <c r="H88" t="s">
        <v>117</v>
      </c>
    </row>
    <row r="89" spans="1:8" x14ac:dyDescent="0.3">
      <c r="A89" s="1">
        <v>45379</v>
      </c>
      <c r="B89" t="s">
        <v>41</v>
      </c>
      <c r="C89" t="s">
        <v>44</v>
      </c>
      <c r="D89" t="s">
        <v>130</v>
      </c>
      <c r="E89">
        <v>395.89</v>
      </c>
      <c r="F89" t="s">
        <v>21</v>
      </c>
      <c r="G89" t="s">
        <v>17</v>
      </c>
      <c r="H89" t="s">
        <v>117</v>
      </c>
    </row>
    <row r="90" spans="1:8" x14ac:dyDescent="0.3">
      <c r="A90" s="1">
        <v>45355</v>
      </c>
      <c r="B90" t="s">
        <v>18</v>
      </c>
      <c r="C90" t="s">
        <v>68</v>
      </c>
      <c r="D90" t="s">
        <v>69</v>
      </c>
      <c r="E90">
        <v>287.04000000000002</v>
      </c>
      <c r="F90" t="s">
        <v>11</v>
      </c>
      <c r="G90" t="s">
        <v>12</v>
      </c>
      <c r="H90" t="s">
        <v>117</v>
      </c>
    </row>
    <row r="91" spans="1:8" x14ac:dyDescent="0.3">
      <c r="A91" s="1">
        <v>45364</v>
      </c>
      <c r="B91" t="s">
        <v>25</v>
      </c>
      <c r="C91" t="s">
        <v>87</v>
      </c>
      <c r="D91" t="s">
        <v>131</v>
      </c>
      <c r="E91">
        <v>1566.69</v>
      </c>
      <c r="F91" t="s">
        <v>21</v>
      </c>
      <c r="G91" t="s">
        <v>12</v>
      </c>
      <c r="H91" t="s">
        <v>117</v>
      </c>
    </row>
    <row r="92" spans="1:8" x14ac:dyDescent="0.3">
      <c r="A92" s="1">
        <v>45360</v>
      </c>
      <c r="B92" t="s">
        <v>8</v>
      </c>
      <c r="C92" t="s">
        <v>74</v>
      </c>
      <c r="D92" t="s">
        <v>132</v>
      </c>
      <c r="E92">
        <v>187.31</v>
      </c>
      <c r="F92" t="s">
        <v>30</v>
      </c>
      <c r="G92" t="s">
        <v>17</v>
      </c>
      <c r="H92" t="s">
        <v>117</v>
      </c>
    </row>
    <row r="93" spans="1:8" x14ac:dyDescent="0.3">
      <c r="A93" s="1">
        <v>45366</v>
      </c>
      <c r="B93" t="s">
        <v>57</v>
      </c>
      <c r="C93" t="s">
        <v>104</v>
      </c>
      <c r="D93" t="s">
        <v>126</v>
      </c>
      <c r="E93">
        <v>1350.31</v>
      </c>
      <c r="F93" t="s">
        <v>86</v>
      </c>
      <c r="G93" t="s">
        <v>12</v>
      </c>
      <c r="H93" t="s">
        <v>117</v>
      </c>
    </row>
    <row r="94" spans="1:8" x14ac:dyDescent="0.3">
      <c r="A94" s="1">
        <v>45372</v>
      </c>
      <c r="B94" t="s">
        <v>18</v>
      </c>
      <c r="C94" t="s">
        <v>19</v>
      </c>
      <c r="D94" t="s">
        <v>133</v>
      </c>
      <c r="E94">
        <v>480.79</v>
      </c>
      <c r="F94" t="s">
        <v>30</v>
      </c>
      <c r="G94" t="s">
        <v>12</v>
      </c>
      <c r="H94" t="s">
        <v>117</v>
      </c>
    </row>
    <row r="95" spans="1:8" x14ac:dyDescent="0.3">
      <c r="A95" s="1">
        <v>45378</v>
      </c>
      <c r="B95" t="s">
        <v>22</v>
      </c>
      <c r="C95" t="s">
        <v>82</v>
      </c>
      <c r="D95" t="s">
        <v>83</v>
      </c>
      <c r="E95">
        <v>359.85</v>
      </c>
      <c r="F95" t="s">
        <v>34</v>
      </c>
      <c r="G95" t="s">
        <v>12</v>
      </c>
      <c r="H95" t="s">
        <v>117</v>
      </c>
    </row>
    <row r="96" spans="1:8" x14ac:dyDescent="0.3">
      <c r="A96" s="1">
        <v>45363</v>
      </c>
      <c r="B96" t="s">
        <v>18</v>
      </c>
      <c r="C96" t="s">
        <v>68</v>
      </c>
      <c r="D96" t="s">
        <v>134</v>
      </c>
      <c r="E96">
        <v>214.62</v>
      </c>
      <c r="F96" t="s">
        <v>11</v>
      </c>
      <c r="G96" t="s">
        <v>12</v>
      </c>
      <c r="H96" t="s">
        <v>117</v>
      </c>
    </row>
    <row r="97" spans="1:8" x14ac:dyDescent="0.3">
      <c r="A97" s="1">
        <v>45357</v>
      </c>
      <c r="B97" t="s">
        <v>14</v>
      </c>
      <c r="C97" t="s">
        <v>15</v>
      </c>
      <c r="D97" t="s">
        <v>135</v>
      </c>
      <c r="E97">
        <v>3843.93</v>
      </c>
      <c r="F97" t="s">
        <v>30</v>
      </c>
      <c r="G97" t="s">
        <v>17</v>
      </c>
      <c r="H97" t="s">
        <v>117</v>
      </c>
    </row>
    <row r="98" spans="1:8" x14ac:dyDescent="0.3">
      <c r="A98" s="1">
        <v>45363</v>
      </c>
      <c r="B98" t="s">
        <v>31</v>
      </c>
      <c r="C98" t="s">
        <v>53</v>
      </c>
      <c r="D98" t="s">
        <v>54</v>
      </c>
      <c r="E98">
        <v>2214.6999999999998</v>
      </c>
      <c r="F98" t="s">
        <v>11</v>
      </c>
      <c r="G98" t="s">
        <v>12</v>
      </c>
      <c r="H98" t="s">
        <v>117</v>
      </c>
    </row>
    <row r="99" spans="1:8" x14ac:dyDescent="0.3">
      <c r="A99" s="1">
        <v>45363</v>
      </c>
      <c r="B99" t="s">
        <v>14</v>
      </c>
      <c r="C99" t="s">
        <v>107</v>
      </c>
      <c r="D99" t="s">
        <v>136</v>
      </c>
      <c r="E99">
        <v>3306.42</v>
      </c>
      <c r="F99" t="s">
        <v>34</v>
      </c>
      <c r="G99" t="s">
        <v>12</v>
      </c>
      <c r="H99" t="s">
        <v>117</v>
      </c>
    </row>
    <row r="100" spans="1:8" x14ac:dyDescent="0.3">
      <c r="A100" s="1">
        <v>45358</v>
      </c>
      <c r="B100" t="s">
        <v>25</v>
      </c>
      <c r="C100" t="s">
        <v>87</v>
      </c>
      <c r="D100" t="s">
        <v>137</v>
      </c>
      <c r="E100">
        <v>593.91</v>
      </c>
      <c r="F100" t="s">
        <v>86</v>
      </c>
      <c r="G100" t="s">
        <v>12</v>
      </c>
      <c r="H100" t="s">
        <v>117</v>
      </c>
    </row>
    <row r="101" spans="1:8" x14ac:dyDescent="0.3">
      <c r="A101" s="1">
        <v>45404</v>
      </c>
      <c r="B101" t="s">
        <v>41</v>
      </c>
      <c r="C101" t="s">
        <v>112</v>
      </c>
      <c r="D101" t="s">
        <v>124</v>
      </c>
      <c r="E101">
        <v>537.78</v>
      </c>
      <c r="F101" t="s">
        <v>21</v>
      </c>
      <c r="G101" t="s">
        <v>17</v>
      </c>
      <c r="H101" t="s">
        <v>138</v>
      </c>
    </row>
    <row r="102" spans="1:8" x14ac:dyDescent="0.3">
      <c r="A102" s="1">
        <v>45391</v>
      </c>
      <c r="B102" t="s">
        <v>25</v>
      </c>
      <c r="C102" t="s">
        <v>87</v>
      </c>
      <c r="D102" t="s">
        <v>139</v>
      </c>
      <c r="E102">
        <v>463.63</v>
      </c>
      <c r="F102" t="s">
        <v>34</v>
      </c>
      <c r="G102" t="s">
        <v>12</v>
      </c>
      <c r="H102" t="s">
        <v>138</v>
      </c>
    </row>
    <row r="103" spans="1:8" x14ac:dyDescent="0.3">
      <c r="A103" s="1">
        <v>45405</v>
      </c>
      <c r="B103" t="s">
        <v>25</v>
      </c>
      <c r="C103" t="s">
        <v>26</v>
      </c>
      <c r="D103" t="s">
        <v>140</v>
      </c>
      <c r="E103">
        <v>1417.31</v>
      </c>
      <c r="F103" t="s">
        <v>34</v>
      </c>
      <c r="G103" t="s">
        <v>12</v>
      </c>
      <c r="H103" t="s">
        <v>138</v>
      </c>
    </row>
    <row r="104" spans="1:8" x14ac:dyDescent="0.3">
      <c r="A104" s="1">
        <v>45412</v>
      </c>
      <c r="B104" t="s">
        <v>22</v>
      </c>
      <c r="C104" t="s">
        <v>23</v>
      </c>
      <c r="D104" t="s">
        <v>141</v>
      </c>
      <c r="E104">
        <v>95.92</v>
      </c>
      <c r="F104" t="s">
        <v>30</v>
      </c>
      <c r="G104" t="s">
        <v>12</v>
      </c>
      <c r="H104" t="s">
        <v>138</v>
      </c>
    </row>
    <row r="105" spans="1:8" x14ac:dyDescent="0.3">
      <c r="A105" s="1">
        <v>45404</v>
      </c>
      <c r="B105" t="s">
        <v>14</v>
      </c>
      <c r="C105" t="s">
        <v>14</v>
      </c>
      <c r="D105" t="s">
        <v>142</v>
      </c>
      <c r="E105">
        <v>2768.63</v>
      </c>
      <c r="F105" t="s">
        <v>30</v>
      </c>
      <c r="G105" t="s">
        <v>17</v>
      </c>
      <c r="H105" t="s">
        <v>138</v>
      </c>
    </row>
    <row r="106" spans="1:8" x14ac:dyDescent="0.3">
      <c r="A106" s="1">
        <v>45403</v>
      </c>
      <c r="B106" t="s">
        <v>14</v>
      </c>
      <c r="C106" t="s">
        <v>15</v>
      </c>
      <c r="D106" t="s">
        <v>52</v>
      </c>
      <c r="E106">
        <v>1191.06</v>
      </c>
      <c r="F106" t="s">
        <v>30</v>
      </c>
      <c r="G106" t="s">
        <v>17</v>
      </c>
      <c r="H106" t="s">
        <v>138</v>
      </c>
    </row>
    <row r="107" spans="1:8" x14ac:dyDescent="0.3">
      <c r="A107" s="1">
        <v>45385</v>
      </c>
      <c r="B107" t="s">
        <v>41</v>
      </c>
      <c r="C107" t="s">
        <v>46</v>
      </c>
      <c r="D107" t="s">
        <v>78</v>
      </c>
      <c r="E107">
        <v>585.08000000000004</v>
      </c>
      <c r="F107" t="s">
        <v>30</v>
      </c>
      <c r="G107" t="s">
        <v>17</v>
      </c>
      <c r="H107" t="s">
        <v>138</v>
      </c>
    </row>
    <row r="108" spans="1:8" x14ac:dyDescent="0.3">
      <c r="A108" s="1">
        <v>45402</v>
      </c>
      <c r="B108" t="s">
        <v>57</v>
      </c>
      <c r="C108" t="s">
        <v>46</v>
      </c>
      <c r="D108" t="s">
        <v>143</v>
      </c>
      <c r="E108">
        <v>2240.5</v>
      </c>
      <c r="F108" t="s">
        <v>30</v>
      </c>
      <c r="G108" t="s">
        <v>12</v>
      </c>
      <c r="H108" t="s">
        <v>138</v>
      </c>
    </row>
    <row r="109" spans="1:8" x14ac:dyDescent="0.3">
      <c r="A109" s="1">
        <v>45403</v>
      </c>
      <c r="B109" t="s">
        <v>8</v>
      </c>
      <c r="C109" t="s">
        <v>9</v>
      </c>
      <c r="D109" t="s">
        <v>144</v>
      </c>
      <c r="E109">
        <v>883.83</v>
      </c>
      <c r="F109" t="s">
        <v>11</v>
      </c>
      <c r="G109" t="s">
        <v>12</v>
      </c>
      <c r="H109" t="s">
        <v>138</v>
      </c>
    </row>
    <row r="110" spans="1:8" x14ac:dyDescent="0.3">
      <c r="A110" s="1">
        <v>45388</v>
      </c>
      <c r="B110" t="s">
        <v>25</v>
      </c>
      <c r="C110" t="s">
        <v>70</v>
      </c>
      <c r="D110" t="s">
        <v>71</v>
      </c>
      <c r="E110">
        <v>423.5</v>
      </c>
      <c r="F110" t="s">
        <v>86</v>
      </c>
      <c r="G110" t="s">
        <v>12</v>
      </c>
      <c r="H110" t="s">
        <v>138</v>
      </c>
    </row>
    <row r="111" spans="1:8" x14ac:dyDescent="0.3">
      <c r="A111" s="1">
        <v>45400</v>
      </c>
      <c r="B111" t="s">
        <v>8</v>
      </c>
      <c r="C111" t="s">
        <v>35</v>
      </c>
      <c r="D111" t="s">
        <v>145</v>
      </c>
      <c r="E111">
        <v>3433.74</v>
      </c>
      <c r="F111" t="s">
        <v>11</v>
      </c>
      <c r="G111" t="s">
        <v>17</v>
      </c>
      <c r="H111" t="s">
        <v>138</v>
      </c>
    </row>
    <row r="112" spans="1:8" x14ac:dyDescent="0.3">
      <c r="A112" s="1">
        <v>45406</v>
      </c>
      <c r="B112" t="s">
        <v>8</v>
      </c>
      <c r="C112" t="s">
        <v>110</v>
      </c>
      <c r="D112" t="s">
        <v>146</v>
      </c>
      <c r="E112">
        <v>710.1</v>
      </c>
      <c r="F112" t="s">
        <v>34</v>
      </c>
      <c r="G112" t="s">
        <v>17</v>
      </c>
      <c r="H112" t="s">
        <v>138</v>
      </c>
    </row>
    <row r="113" spans="1:8" x14ac:dyDescent="0.3">
      <c r="A113" s="1">
        <v>45390</v>
      </c>
      <c r="B113" t="s">
        <v>31</v>
      </c>
      <c r="C113" t="s">
        <v>76</v>
      </c>
      <c r="D113" t="s">
        <v>147</v>
      </c>
      <c r="E113">
        <v>2924.17</v>
      </c>
      <c r="F113" t="s">
        <v>11</v>
      </c>
      <c r="G113" t="s">
        <v>12</v>
      </c>
      <c r="H113" t="s">
        <v>138</v>
      </c>
    </row>
    <row r="114" spans="1:8" x14ac:dyDescent="0.3">
      <c r="A114" s="1">
        <v>45388</v>
      </c>
      <c r="B114" t="s">
        <v>31</v>
      </c>
      <c r="C114" t="s">
        <v>53</v>
      </c>
      <c r="D114" t="s">
        <v>54</v>
      </c>
      <c r="E114">
        <v>2624.52</v>
      </c>
      <c r="F114" t="s">
        <v>11</v>
      </c>
      <c r="G114" t="s">
        <v>12</v>
      </c>
      <c r="H114" t="s">
        <v>138</v>
      </c>
    </row>
    <row r="115" spans="1:8" x14ac:dyDescent="0.3">
      <c r="A115" s="1">
        <v>45397</v>
      </c>
      <c r="B115" t="s">
        <v>14</v>
      </c>
      <c r="C115" t="s">
        <v>107</v>
      </c>
      <c r="D115" t="s">
        <v>136</v>
      </c>
      <c r="E115">
        <v>1376.01</v>
      </c>
      <c r="F115" t="s">
        <v>21</v>
      </c>
      <c r="G115" t="s">
        <v>12</v>
      </c>
      <c r="H115" t="s">
        <v>138</v>
      </c>
    </row>
    <row r="116" spans="1:8" x14ac:dyDescent="0.3">
      <c r="A116" s="1">
        <v>45395</v>
      </c>
      <c r="B116" t="s">
        <v>8</v>
      </c>
      <c r="C116" t="s">
        <v>37</v>
      </c>
      <c r="D116" t="s">
        <v>106</v>
      </c>
      <c r="E116">
        <v>2895.19</v>
      </c>
      <c r="F116" t="s">
        <v>21</v>
      </c>
      <c r="G116" t="s">
        <v>12</v>
      </c>
      <c r="H116" t="s">
        <v>138</v>
      </c>
    </row>
    <row r="117" spans="1:8" x14ac:dyDescent="0.3">
      <c r="A117" s="1">
        <v>45391</v>
      </c>
      <c r="B117" t="s">
        <v>14</v>
      </c>
      <c r="C117" t="s">
        <v>15</v>
      </c>
      <c r="D117" t="s">
        <v>129</v>
      </c>
      <c r="E117">
        <v>623.87</v>
      </c>
      <c r="F117" t="s">
        <v>34</v>
      </c>
      <c r="G117" t="s">
        <v>17</v>
      </c>
      <c r="H117" t="s">
        <v>138</v>
      </c>
    </row>
    <row r="118" spans="1:8" x14ac:dyDescent="0.3">
      <c r="A118" s="1">
        <v>45412</v>
      </c>
      <c r="B118" t="s">
        <v>18</v>
      </c>
      <c r="C118" t="s">
        <v>39</v>
      </c>
      <c r="D118" t="s">
        <v>148</v>
      </c>
      <c r="E118">
        <v>341.47</v>
      </c>
      <c r="F118" t="s">
        <v>11</v>
      </c>
      <c r="G118" t="s">
        <v>17</v>
      </c>
      <c r="H118" t="s">
        <v>138</v>
      </c>
    </row>
    <row r="119" spans="1:8" x14ac:dyDescent="0.3">
      <c r="A119" s="1">
        <v>45403</v>
      </c>
      <c r="B119" t="s">
        <v>41</v>
      </c>
      <c r="C119" t="s">
        <v>42</v>
      </c>
      <c r="D119" t="s">
        <v>149</v>
      </c>
      <c r="E119">
        <v>703.25</v>
      </c>
      <c r="F119" t="s">
        <v>21</v>
      </c>
      <c r="G119" t="s">
        <v>17</v>
      </c>
      <c r="H119" t="s">
        <v>138</v>
      </c>
    </row>
    <row r="120" spans="1:8" x14ac:dyDescent="0.3">
      <c r="A120" s="1">
        <v>45405</v>
      </c>
      <c r="B120" t="s">
        <v>8</v>
      </c>
      <c r="C120" t="s">
        <v>35</v>
      </c>
      <c r="D120" t="s">
        <v>36</v>
      </c>
      <c r="E120">
        <v>1138.29</v>
      </c>
      <c r="F120" t="s">
        <v>34</v>
      </c>
      <c r="G120" t="s">
        <v>17</v>
      </c>
      <c r="H120" t="s">
        <v>138</v>
      </c>
    </row>
    <row r="121" spans="1:8" x14ac:dyDescent="0.3">
      <c r="A121" s="1">
        <v>45400</v>
      </c>
      <c r="B121" t="s">
        <v>18</v>
      </c>
      <c r="C121" t="s">
        <v>39</v>
      </c>
      <c r="D121" t="s">
        <v>40</v>
      </c>
      <c r="E121">
        <v>169.82</v>
      </c>
      <c r="F121" t="s">
        <v>21</v>
      </c>
      <c r="G121" t="s">
        <v>17</v>
      </c>
      <c r="H121" t="s">
        <v>138</v>
      </c>
    </row>
    <row r="122" spans="1:8" x14ac:dyDescent="0.3">
      <c r="A122" s="1">
        <v>45390</v>
      </c>
      <c r="B122" t="s">
        <v>31</v>
      </c>
      <c r="C122" t="s">
        <v>32</v>
      </c>
      <c r="D122" t="s">
        <v>150</v>
      </c>
      <c r="E122">
        <v>1678.38</v>
      </c>
      <c r="F122" t="s">
        <v>34</v>
      </c>
      <c r="G122" t="s">
        <v>12</v>
      </c>
      <c r="H122" t="s">
        <v>138</v>
      </c>
    </row>
    <row r="123" spans="1:8" x14ac:dyDescent="0.3">
      <c r="A123" s="1">
        <v>45404</v>
      </c>
      <c r="B123" t="s">
        <v>22</v>
      </c>
      <c r="C123" t="s">
        <v>151</v>
      </c>
      <c r="D123" t="s">
        <v>152</v>
      </c>
      <c r="E123">
        <v>560.82000000000005</v>
      </c>
      <c r="F123" t="s">
        <v>30</v>
      </c>
      <c r="G123" t="s">
        <v>17</v>
      </c>
      <c r="H123" t="s">
        <v>138</v>
      </c>
    </row>
    <row r="124" spans="1:8" x14ac:dyDescent="0.3">
      <c r="A124" s="1">
        <v>45393</v>
      </c>
      <c r="B124" t="s">
        <v>8</v>
      </c>
      <c r="C124" t="s">
        <v>74</v>
      </c>
      <c r="D124" t="s">
        <v>75</v>
      </c>
      <c r="E124">
        <v>1079.56</v>
      </c>
      <c r="F124" t="s">
        <v>30</v>
      </c>
      <c r="G124" t="s">
        <v>17</v>
      </c>
      <c r="H124" t="s">
        <v>138</v>
      </c>
    </row>
    <row r="125" spans="1:8" x14ac:dyDescent="0.3">
      <c r="A125" s="1">
        <v>45409</v>
      </c>
      <c r="B125" t="s">
        <v>14</v>
      </c>
      <c r="C125" t="s">
        <v>15</v>
      </c>
      <c r="D125" t="s">
        <v>116</v>
      </c>
      <c r="E125">
        <v>3697.17</v>
      </c>
      <c r="F125" t="s">
        <v>11</v>
      </c>
      <c r="G125" t="s">
        <v>17</v>
      </c>
      <c r="H125" t="s">
        <v>138</v>
      </c>
    </row>
    <row r="126" spans="1:8" x14ac:dyDescent="0.3">
      <c r="A126" s="1">
        <v>45407</v>
      </c>
      <c r="B126" t="s">
        <v>57</v>
      </c>
      <c r="C126" t="s">
        <v>58</v>
      </c>
      <c r="D126" t="s">
        <v>153</v>
      </c>
      <c r="E126">
        <v>1503.89</v>
      </c>
      <c r="F126" t="s">
        <v>86</v>
      </c>
      <c r="G126" t="s">
        <v>12</v>
      </c>
      <c r="H126" t="s">
        <v>138</v>
      </c>
    </row>
    <row r="127" spans="1:8" x14ac:dyDescent="0.3">
      <c r="A127" s="1">
        <v>45407</v>
      </c>
      <c r="B127" t="s">
        <v>8</v>
      </c>
      <c r="C127" t="s">
        <v>110</v>
      </c>
      <c r="D127" t="s">
        <v>154</v>
      </c>
      <c r="E127">
        <v>302.77</v>
      </c>
      <c r="F127" t="s">
        <v>30</v>
      </c>
      <c r="G127" t="s">
        <v>17</v>
      </c>
      <c r="H127" t="s">
        <v>138</v>
      </c>
    </row>
    <row r="128" spans="1:8" x14ac:dyDescent="0.3">
      <c r="A128" s="1">
        <v>45384</v>
      </c>
      <c r="B128" t="s">
        <v>8</v>
      </c>
      <c r="C128" t="s">
        <v>37</v>
      </c>
      <c r="D128" t="s">
        <v>106</v>
      </c>
      <c r="E128">
        <v>1693.57</v>
      </c>
      <c r="F128" t="s">
        <v>30</v>
      </c>
      <c r="G128" t="s">
        <v>12</v>
      </c>
      <c r="H128" t="s">
        <v>138</v>
      </c>
    </row>
    <row r="129" spans="1:8" x14ac:dyDescent="0.3">
      <c r="A129" s="1">
        <v>45390</v>
      </c>
      <c r="B129" t="s">
        <v>57</v>
      </c>
      <c r="C129" t="s">
        <v>92</v>
      </c>
      <c r="D129" t="s">
        <v>123</v>
      </c>
      <c r="E129">
        <v>3331.89</v>
      </c>
      <c r="F129" t="s">
        <v>30</v>
      </c>
      <c r="G129" t="s">
        <v>12</v>
      </c>
      <c r="H129" t="s">
        <v>138</v>
      </c>
    </row>
    <row r="130" spans="1:8" x14ac:dyDescent="0.3">
      <c r="A130" s="1">
        <v>45409</v>
      </c>
      <c r="B130" t="s">
        <v>18</v>
      </c>
      <c r="C130" t="s">
        <v>68</v>
      </c>
      <c r="D130" t="s">
        <v>69</v>
      </c>
      <c r="E130">
        <v>535.30999999999995</v>
      </c>
      <c r="F130" t="s">
        <v>30</v>
      </c>
      <c r="G130" t="s">
        <v>12</v>
      </c>
      <c r="H130" t="s">
        <v>138</v>
      </c>
    </row>
    <row r="131" spans="1:8" x14ac:dyDescent="0.3">
      <c r="A131" s="1">
        <v>45384</v>
      </c>
      <c r="B131" t="s">
        <v>25</v>
      </c>
      <c r="C131" t="s">
        <v>95</v>
      </c>
      <c r="D131" t="s">
        <v>96</v>
      </c>
      <c r="E131">
        <v>100.44</v>
      </c>
      <c r="F131" t="s">
        <v>21</v>
      </c>
      <c r="G131" t="s">
        <v>12</v>
      </c>
      <c r="H131" t="s">
        <v>138</v>
      </c>
    </row>
    <row r="132" spans="1:8" x14ac:dyDescent="0.3">
      <c r="A132" s="1">
        <v>45408</v>
      </c>
      <c r="B132" t="s">
        <v>22</v>
      </c>
      <c r="C132" t="s">
        <v>82</v>
      </c>
      <c r="D132" t="s">
        <v>83</v>
      </c>
      <c r="E132">
        <v>60.98</v>
      </c>
      <c r="F132" t="s">
        <v>21</v>
      </c>
      <c r="G132" t="s">
        <v>12</v>
      </c>
      <c r="H132" t="s">
        <v>138</v>
      </c>
    </row>
    <row r="133" spans="1:8" x14ac:dyDescent="0.3">
      <c r="A133" s="1">
        <v>45393</v>
      </c>
      <c r="B133" t="s">
        <v>14</v>
      </c>
      <c r="C133" t="s">
        <v>14</v>
      </c>
      <c r="D133" t="s">
        <v>118</v>
      </c>
      <c r="E133">
        <v>3665.97</v>
      </c>
      <c r="F133" t="s">
        <v>11</v>
      </c>
      <c r="G133" t="s">
        <v>17</v>
      </c>
      <c r="H133" t="s">
        <v>138</v>
      </c>
    </row>
    <row r="134" spans="1:8" x14ac:dyDescent="0.3">
      <c r="A134" s="1">
        <v>45425</v>
      </c>
      <c r="B134" t="s">
        <v>57</v>
      </c>
      <c r="C134" t="s">
        <v>104</v>
      </c>
      <c r="D134" t="s">
        <v>125</v>
      </c>
      <c r="E134">
        <v>2926.06</v>
      </c>
      <c r="F134" t="s">
        <v>30</v>
      </c>
      <c r="G134" t="s">
        <v>12</v>
      </c>
      <c r="H134" t="s">
        <v>155</v>
      </c>
    </row>
    <row r="135" spans="1:8" x14ac:dyDescent="0.3">
      <c r="A135" s="1">
        <v>45421</v>
      </c>
      <c r="B135" t="s">
        <v>25</v>
      </c>
      <c r="C135" t="s">
        <v>26</v>
      </c>
      <c r="D135" t="s">
        <v>140</v>
      </c>
      <c r="E135">
        <v>253.97</v>
      </c>
      <c r="F135" t="s">
        <v>21</v>
      </c>
      <c r="G135" t="s">
        <v>12</v>
      </c>
      <c r="H135" t="s">
        <v>155</v>
      </c>
    </row>
    <row r="136" spans="1:8" x14ac:dyDescent="0.3">
      <c r="A136" s="1">
        <v>45415</v>
      </c>
      <c r="B136" t="s">
        <v>25</v>
      </c>
      <c r="C136" t="s">
        <v>100</v>
      </c>
      <c r="D136" t="s">
        <v>156</v>
      </c>
      <c r="E136">
        <v>612.02</v>
      </c>
      <c r="F136" t="s">
        <v>86</v>
      </c>
      <c r="G136" t="s">
        <v>17</v>
      </c>
      <c r="H136" t="s">
        <v>155</v>
      </c>
    </row>
    <row r="137" spans="1:8" x14ac:dyDescent="0.3">
      <c r="A137" s="1">
        <v>45419</v>
      </c>
      <c r="B137" t="s">
        <v>22</v>
      </c>
      <c r="C137" t="s">
        <v>151</v>
      </c>
      <c r="D137" t="s">
        <v>157</v>
      </c>
      <c r="E137">
        <v>272.18</v>
      </c>
      <c r="F137" t="s">
        <v>34</v>
      </c>
      <c r="G137" t="s">
        <v>17</v>
      </c>
      <c r="H137" t="s">
        <v>155</v>
      </c>
    </row>
    <row r="138" spans="1:8" x14ac:dyDescent="0.3">
      <c r="A138" s="1">
        <v>45442</v>
      </c>
      <c r="B138" t="s">
        <v>18</v>
      </c>
      <c r="C138" t="s">
        <v>28</v>
      </c>
      <c r="D138" t="s">
        <v>29</v>
      </c>
      <c r="E138">
        <v>399.73</v>
      </c>
      <c r="F138" t="s">
        <v>30</v>
      </c>
      <c r="G138" t="s">
        <v>12</v>
      </c>
      <c r="H138" t="s">
        <v>155</v>
      </c>
    </row>
    <row r="139" spans="1:8" x14ac:dyDescent="0.3">
      <c r="A139" s="1">
        <v>45443</v>
      </c>
      <c r="B139" t="s">
        <v>14</v>
      </c>
      <c r="C139" t="s">
        <v>107</v>
      </c>
      <c r="D139" t="s">
        <v>158</v>
      </c>
      <c r="E139">
        <v>766.58</v>
      </c>
      <c r="F139" t="s">
        <v>34</v>
      </c>
      <c r="G139" t="s">
        <v>12</v>
      </c>
      <c r="H139" t="s">
        <v>155</v>
      </c>
    </row>
    <row r="140" spans="1:8" x14ac:dyDescent="0.3">
      <c r="A140" s="1">
        <v>45431</v>
      </c>
      <c r="B140" t="s">
        <v>14</v>
      </c>
      <c r="C140" t="s">
        <v>107</v>
      </c>
      <c r="D140" t="s">
        <v>159</v>
      </c>
      <c r="E140">
        <v>830.16</v>
      </c>
      <c r="F140" t="s">
        <v>11</v>
      </c>
      <c r="G140" t="s">
        <v>12</v>
      </c>
      <c r="H140" t="s">
        <v>155</v>
      </c>
    </row>
    <row r="141" spans="1:8" x14ac:dyDescent="0.3">
      <c r="A141" s="1">
        <v>45441</v>
      </c>
      <c r="B141" t="s">
        <v>8</v>
      </c>
      <c r="C141" t="s">
        <v>37</v>
      </c>
      <c r="D141" t="s">
        <v>160</v>
      </c>
      <c r="E141">
        <v>512.85</v>
      </c>
      <c r="F141" t="s">
        <v>11</v>
      </c>
      <c r="G141" t="s">
        <v>12</v>
      </c>
      <c r="H141" t="s">
        <v>155</v>
      </c>
    </row>
    <row r="142" spans="1:8" x14ac:dyDescent="0.3">
      <c r="A142" s="1">
        <v>45435</v>
      </c>
      <c r="B142" t="s">
        <v>31</v>
      </c>
      <c r="C142" t="s">
        <v>76</v>
      </c>
      <c r="D142" t="s">
        <v>147</v>
      </c>
      <c r="E142">
        <v>1679.14</v>
      </c>
      <c r="F142" t="s">
        <v>86</v>
      </c>
      <c r="G142" t="s">
        <v>12</v>
      </c>
      <c r="H142" t="s">
        <v>155</v>
      </c>
    </row>
    <row r="143" spans="1:8" x14ac:dyDescent="0.3">
      <c r="A143" s="1">
        <v>45423</v>
      </c>
      <c r="B143" t="s">
        <v>41</v>
      </c>
      <c r="C143" t="s">
        <v>44</v>
      </c>
      <c r="D143" t="s">
        <v>161</v>
      </c>
      <c r="E143">
        <v>1423.24</v>
      </c>
      <c r="F143" t="s">
        <v>11</v>
      </c>
      <c r="G143" t="s">
        <v>17</v>
      </c>
      <c r="H143" t="s">
        <v>155</v>
      </c>
    </row>
    <row r="144" spans="1:8" x14ac:dyDescent="0.3">
      <c r="A144" s="1">
        <v>45419</v>
      </c>
      <c r="B144" t="s">
        <v>14</v>
      </c>
      <c r="C144" t="s">
        <v>66</v>
      </c>
      <c r="D144" t="s">
        <v>162</v>
      </c>
      <c r="E144">
        <v>1673.65</v>
      </c>
      <c r="F144" t="s">
        <v>30</v>
      </c>
      <c r="G144" t="s">
        <v>12</v>
      </c>
      <c r="H144" t="s">
        <v>155</v>
      </c>
    </row>
    <row r="145" spans="1:8" x14ac:dyDescent="0.3">
      <c r="A145" s="1">
        <v>45433</v>
      </c>
      <c r="B145" t="s">
        <v>14</v>
      </c>
      <c r="C145" t="s">
        <v>48</v>
      </c>
      <c r="D145" t="s">
        <v>49</v>
      </c>
      <c r="E145">
        <v>2214.04</v>
      </c>
      <c r="F145" t="s">
        <v>30</v>
      </c>
      <c r="G145" t="s">
        <v>17</v>
      </c>
      <c r="H145" t="s">
        <v>155</v>
      </c>
    </row>
    <row r="146" spans="1:8" x14ac:dyDescent="0.3">
      <c r="A146" s="1">
        <v>45428</v>
      </c>
      <c r="B146" t="s">
        <v>41</v>
      </c>
      <c r="C146" t="s">
        <v>42</v>
      </c>
      <c r="D146" t="s">
        <v>43</v>
      </c>
      <c r="E146">
        <v>1302.8399999999999</v>
      </c>
      <c r="F146" t="s">
        <v>30</v>
      </c>
      <c r="G146" t="s">
        <v>17</v>
      </c>
      <c r="H146" t="s">
        <v>155</v>
      </c>
    </row>
    <row r="147" spans="1:8" x14ac:dyDescent="0.3">
      <c r="A147" s="1">
        <v>45425</v>
      </c>
      <c r="B147" t="s">
        <v>57</v>
      </c>
      <c r="C147" t="s">
        <v>92</v>
      </c>
      <c r="D147" t="s">
        <v>123</v>
      </c>
      <c r="E147">
        <v>1749.6</v>
      </c>
      <c r="F147" t="s">
        <v>11</v>
      </c>
      <c r="G147" t="s">
        <v>12</v>
      </c>
      <c r="H147" t="s">
        <v>155</v>
      </c>
    </row>
    <row r="148" spans="1:8" x14ac:dyDescent="0.3">
      <c r="A148" s="1">
        <v>45441</v>
      </c>
      <c r="B148" t="s">
        <v>8</v>
      </c>
      <c r="C148" t="s">
        <v>9</v>
      </c>
      <c r="D148" t="s">
        <v>163</v>
      </c>
      <c r="E148">
        <v>2071.7399999999998</v>
      </c>
      <c r="F148" t="s">
        <v>21</v>
      </c>
      <c r="G148" t="s">
        <v>12</v>
      </c>
      <c r="H148" t="s">
        <v>155</v>
      </c>
    </row>
    <row r="149" spans="1:8" x14ac:dyDescent="0.3">
      <c r="A149" s="1">
        <v>45442</v>
      </c>
      <c r="B149" t="s">
        <v>31</v>
      </c>
      <c r="C149" t="s">
        <v>53</v>
      </c>
      <c r="D149" t="s">
        <v>164</v>
      </c>
      <c r="E149">
        <v>1478.81</v>
      </c>
      <c r="F149" t="s">
        <v>11</v>
      </c>
      <c r="G149" t="s">
        <v>12</v>
      </c>
      <c r="H149" t="s">
        <v>155</v>
      </c>
    </row>
    <row r="150" spans="1:8" x14ac:dyDescent="0.3">
      <c r="A150" s="1">
        <v>45433</v>
      </c>
      <c r="B150" t="s">
        <v>57</v>
      </c>
      <c r="C150" t="s">
        <v>104</v>
      </c>
      <c r="D150" t="s">
        <v>114</v>
      </c>
      <c r="E150">
        <v>5243.69</v>
      </c>
      <c r="F150" t="s">
        <v>86</v>
      </c>
      <c r="G150" t="s">
        <v>12</v>
      </c>
      <c r="H150" t="s">
        <v>155</v>
      </c>
    </row>
    <row r="151" spans="1:8" x14ac:dyDescent="0.3">
      <c r="A151" s="1">
        <v>45427</v>
      </c>
      <c r="B151" t="s">
        <v>57</v>
      </c>
      <c r="C151" t="s">
        <v>90</v>
      </c>
      <c r="D151" t="s">
        <v>91</v>
      </c>
      <c r="E151">
        <v>453.15</v>
      </c>
      <c r="F151" t="s">
        <v>30</v>
      </c>
      <c r="G151" t="s">
        <v>12</v>
      </c>
      <c r="H151" t="s">
        <v>155</v>
      </c>
    </row>
    <row r="152" spans="1:8" x14ac:dyDescent="0.3">
      <c r="A152" s="1">
        <v>45417</v>
      </c>
      <c r="B152" t="s">
        <v>57</v>
      </c>
      <c r="C152" t="s">
        <v>104</v>
      </c>
      <c r="D152" t="s">
        <v>165</v>
      </c>
      <c r="E152">
        <v>4795.88</v>
      </c>
      <c r="F152" t="s">
        <v>86</v>
      </c>
      <c r="G152" t="s">
        <v>12</v>
      </c>
      <c r="H152" t="s">
        <v>155</v>
      </c>
    </row>
    <row r="153" spans="1:8" x14ac:dyDescent="0.3">
      <c r="A153" s="1">
        <v>45421</v>
      </c>
      <c r="B153" t="s">
        <v>14</v>
      </c>
      <c r="C153" t="s">
        <v>15</v>
      </c>
      <c r="D153" t="s">
        <v>116</v>
      </c>
      <c r="E153">
        <v>2019.12</v>
      </c>
      <c r="F153" t="s">
        <v>34</v>
      </c>
      <c r="G153" t="s">
        <v>17</v>
      </c>
      <c r="H153" t="s">
        <v>155</v>
      </c>
    </row>
    <row r="154" spans="1:8" x14ac:dyDescent="0.3">
      <c r="A154" s="1">
        <v>45417</v>
      </c>
      <c r="B154" t="s">
        <v>18</v>
      </c>
      <c r="C154" t="s">
        <v>28</v>
      </c>
      <c r="D154" t="s">
        <v>166</v>
      </c>
      <c r="E154">
        <v>322.68</v>
      </c>
      <c r="F154" t="s">
        <v>11</v>
      </c>
      <c r="G154" t="s">
        <v>12</v>
      </c>
      <c r="H154" t="s">
        <v>155</v>
      </c>
    </row>
    <row r="155" spans="1:8" x14ac:dyDescent="0.3">
      <c r="A155" s="1">
        <v>45420</v>
      </c>
      <c r="B155" t="s">
        <v>22</v>
      </c>
      <c r="C155" t="s">
        <v>167</v>
      </c>
      <c r="D155" t="s">
        <v>168</v>
      </c>
      <c r="E155">
        <v>700.62</v>
      </c>
      <c r="F155" t="s">
        <v>21</v>
      </c>
      <c r="G155" t="s">
        <v>12</v>
      </c>
      <c r="H155" t="s">
        <v>155</v>
      </c>
    </row>
    <row r="156" spans="1:8" x14ac:dyDescent="0.3">
      <c r="A156" s="1">
        <v>45436</v>
      </c>
      <c r="B156" t="s">
        <v>18</v>
      </c>
      <c r="C156" t="s">
        <v>28</v>
      </c>
      <c r="D156" t="s">
        <v>79</v>
      </c>
      <c r="E156">
        <v>213.06</v>
      </c>
      <c r="F156" t="s">
        <v>30</v>
      </c>
      <c r="G156" t="s">
        <v>12</v>
      </c>
      <c r="H156" t="s">
        <v>155</v>
      </c>
    </row>
    <row r="157" spans="1:8" x14ac:dyDescent="0.3">
      <c r="A157" s="1">
        <v>45430</v>
      </c>
      <c r="B157" t="s">
        <v>57</v>
      </c>
      <c r="C157" t="s">
        <v>58</v>
      </c>
      <c r="D157" t="s">
        <v>59</v>
      </c>
      <c r="E157">
        <v>5143.58</v>
      </c>
      <c r="F157" t="s">
        <v>30</v>
      </c>
      <c r="G157" t="s">
        <v>12</v>
      </c>
      <c r="H157" t="s">
        <v>155</v>
      </c>
    </row>
    <row r="158" spans="1:8" x14ac:dyDescent="0.3">
      <c r="A158" s="1">
        <v>45430</v>
      </c>
      <c r="B158" t="s">
        <v>25</v>
      </c>
      <c r="C158" t="s">
        <v>100</v>
      </c>
      <c r="D158" t="s">
        <v>101</v>
      </c>
      <c r="E158">
        <v>1254.05</v>
      </c>
      <c r="F158" t="s">
        <v>21</v>
      </c>
      <c r="G158" t="s">
        <v>17</v>
      </c>
      <c r="H158" t="s">
        <v>155</v>
      </c>
    </row>
    <row r="159" spans="1:8" x14ac:dyDescent="0.3">
      <c r="A159" s="1">
        <v>45421</v>
      </c>
      <c r="B159" t="s">
        <v>8</v>
      </c>
      <c r="C159" t="s">
        <v>110</v>
      </c>
      <c r="D159" t="s">
        <v>154</v>
      </c>
      <c r="E159">
        <v>1575.5</v>
      </c>
      <c r="F159" t="s">
        <v>34</v>
      </c>
      <c r="G159" t="s">
        <v>17</v>
      </c>
      <c r="H159" t="s">
        <v>155</v>
      </c>
    </row>
    <row r="160" spans="1:8" x14ac:dyDescent="0.3">
      <c r="A160" s="1">
        <v>45436</v>
      </c>
      <c r="B160" t="s">
        <v>18</v>
      </c>
      <c r="C160" t="s">
        <v>28</v>
      </c>
      <c r="D160" t="s">
        <v>115</v>
      </c>
      <c r="E160">
        <v>420.99</v>
      </c>
      <c r="F160" t="s">
        <v>21</v>
      </c>
      <c r="G160" t="s">
        <v>12</v>
      </c>
      <c r="H160" t="s">
        <v>155</v>
      </c>
    </row>
    <row r="161" spans="1:8" x14ac:dyDescent="0.3">
      <c r="A161" s="1">
        <v>45431</v>
      </c>
      <c r="B161" t="s">
        <v>22</v>
      </c>
      <c r="C161" t="s">
        <v>82</v>
      </c>
      <c r="D161" t="s">
        <v>169</v>
      </c>
      <c r="E161">
        <v>255.89</v>
      </c>
      <c r="F161" t="s">
        <v>34</v>
      </c>
      <c r="G161" t="s">
        <v>12</v>
      </c>
      <c r="H161" t="s">
        <v>155</v>
      </c>
    </row>
    <row r="162" spans="1:8" x14ac:dyDescent="0.3">
      <c r="A162" s="1">
        <v>45426</v>
      </c>
      <c r="B162" t="s">
        <v>57</v>
      </c>
      <c r="C162" t="s">
        <v>90</v>
      </c>
      <c r="D162" t="s">
        <v>170</v>
      </c>
      <c r="E162">
        <v>3280.76</v>
      </c>
      <c r="F162" t="s">
        <v>86</v>
      </c>
      <c r="G162" t="s">
        <v>12</v>
      </c>
      <c r="H162" t="s">
        <v>155</v>
      </c>
    </row>
    <row r="163" spans="1:8" x14ac:dyDescent="0.3">
      <c r="A163" s="1">
        <v>45441</v>
      </c>
      <c r="B163" t="s">
        <v>31</v>
      </c>
      <c r="C163" t="s">
        <v>32</v>
      </c>
      <c r="D163" t="s">
        <v>171</v>
      </c>
      <c r="E163">
        <v>1848</v>
      </c>
      <c r="F163" t="s">
        <v>30</v>
      </c>
      <c r="G163" t="s">
        <v>12</v>
      </c>
      <c r="H163" t="s">
        <v>155</v>
      </c>
    </row>
    <row r="164" spans="1:8" x14ac:dyDescent="0.3">
      <c r="A164" s="1">
        <v>45431</v>
      </c>
      <c r="B164" t="s">
        <v>41</v>
      </c>
      <c r="C164" t="s">
        <v>112</v>
      </c>
      <c r="D164" t="s">
        <v>172</v>
      </c>
      <c r="E164">
        <v>386.67</v>
      </c>
      <c r="F164" t="s">
        <v>30</v>
      </c>
      <c r="G164" t="s">
        <v>17</v>
      </c>
      <c r="H164" t="s">
        <v>155</v>
      </c>
    </row>
    <row r="165" spans="1:8" x14ac:dyDescent="0.3">
      <c r="A165" s="1">
        <v>45425</v>
      </c>
      <c r="B165" t="s">
        <v>14</v>
      </c>
      <c r="C165" t="s">
        <v>66</v>
      </c>
      <c r="D165" t="s">
        <v>67</v>
      </c>
      <c r="E165">
        <v>3597.66</v>
      </c>
      <c r="F165" t="s">
        <v>30</v>
      </c>
      <c r="G165" t="s">
        <v>12</v>
      </c>
      <c r="H165" t="s">
        <v>155</v>
      </c>
    </row>
    <row r="166" spans="1:8" x14ac:dyDescent="0.3">
      <c r="A166" s="1">
        <v>45424</v>
      </c>
      <c r="B166" t="s">
        <v>8</v>
      </c>
      <c r="C166" t="s">
        <v>35</v>
      </c>
      <c r="D166" t="s">
        <v>173</v>
      </c>
      <c r="E166">
        <v>351.13</v>
      </c>
      <c r="F166" t="s">
        <v>30</v>
      </c>
      <c r="G166" t="s">
        <v>17</v>
      </c>
      <c r="H166" t="s">
        <v>155</v>
      </c>
    </row>
    <row r="167" spans="1:8" x14ac:dyDescent="0.3">
      <c r="A167" s="1">
        <v>45451</v>
      </c>
      <c r="B167" t="s">
        <v>8</v>
      </c>
      <c r="C167" t="s">
        <v>37</v>
      </c>
      <c r="D167" t="s">
        <v>38</v>
      </c>
      <c r="E167">
        <v>1653.24</v>
      </c>
      <c r="F167" t="s">
        <v>30</v>
      </c>
      <c r="G167" t="s">
        <v>12</v>
      </c>
      <c r="H167" t="s">
        <v>174</v>
      </c>
    </row>
    <row r="168" spans="1:8" x14ac:dyDescent="0.3">
      <c r="A168" s="1">
        <v>45448</v>
      </c>
      <c r="B168" t="s">
        <v>41</v>
      </c>
      <c r="C168" t="s">
        <v>112</v>
      </c>
      <c r="D168" t="s">
        <v>124</v>
      </c>
      <c r="E168">
        <v>204.65</v>
      </c>
      <c r="F168" t="s">
        <v>21</v>
      </c>
      <c r="G168" t="s">
        <v>17</v>
      </c>
      <c r="H168" t="s">
        <v>174</v>
      </c>
    </row>
    <row r="169" spans="1:8" x14ac:dyDescent="0.3">
      <c r="A169" s="1">
        <v>45460</v>
      </c>
      <c r="B169" t="s">
        <v>25</v>
      </c>
      <c r="C169" t="s">
        <v>95</v>
      </c>
      <c r="D169" t="s">
        <v>96</v>
      </c>
      <c r="E169">
        <v>1985.75</v>
      </c>
      <c r="F169" t="s">
        <v>34</v>
      </c>
      <c r="G169" t="s">
        <v>12</v>
      </c>
      <c r="H169" t="s">
        <v>174</v>
      </c>
    </row>
    <row r="170" spans="1:8" x14ac:dyDescent="0.3">
      <c r="A170" s="1">
        <v>45459</v>
      </c>
      <c r="B170" t="s">
        <v>22</v>
      </c>
      <c r="C170" t="s">
        <v>151</v>
      </c>
      <c r="D170" t="s">
        <v>175</v>
      </c>
      <c r="E170">
        <v>36.24</v>
      </c>
      <c r="F170" t="s">
        <v>11</v>
      </c>
      <c r="G170" t="s">
        <v>17</v>
      </c>
      <c r="H170" t="s">
        <v>174</v>
      </c>
    </row>
    <row r="171" spans="1:8" x14ac:dyDescent="0.3">
      <c r="A171" s="1">
        <v>45446</v>
      </c>
      <c r="B171" t="s">
        <v>14</v>
      </c>
      <c r="C171" t="s">
        <v>66</v>
      </c>
      <c r="D171" t="s">
        <v>176</v>
      </c>
      <c r="E171">
        <v>2436.12</v>
      </c>
      <c r="F171" t="s">
        <v>34</v>
      </c>
      <c r="G171" t="s">
        <v>12</v>
      </c>
      <c r="H171" t="s">
        <v>174</v>
      </c>
    </row>
    <row r="172" spans="1:8" x14ac:dyDescent="0.3">
      <c r="A172" s="1">
        <v>45468</v>
      </c>
      <c r="B172" t="s">
        <v>41</v>
      </c>
      <c r="C172" t="s">
        <v>177</v>
      </c>
      <c r="D172" t="s">
        <v>178</v>
      </c>
      <c r="E172">
        <v>1032.76</v>
      </c>
      <c r="F172" t="s">
        <v>11</v>
      </c>
      <c r="G172" t="s">
        <v>17</v>
      </c>
      <c r="H172" t="s">
        <v>174</v>
      </c>
    </row>
    <row r="173" spans="1:8" x14ac:dyDescent="0.3">
      <c r="A173" s="1">
        <v>45445</v>
      </c>
      <c r="B173" t="s">
        <v>18</v>
      </c>
      <c r="C173" t="s">
        <v>50</v>
      </c>
      <c r="D173" t="s">
        <v>179</v>
      </c>
      <c r="E173">
        <v>476.34</v>
      </c>
      <c r="F173" t="s">
        <v>21</v>
      </c>
      <c r="G173" t="s">
        <v>12</v>
      </c>
      <c r="H173" t="s">
        <v>174</v>
      </c>
    </row>
    <row r="174" spans="1:8" x14ac:dyDescent="0.3">
      <c r="A174" s="1">
        <v>45471</v>
      </c>
      <c r="B174" t="s">
        <v>25</v>
      </c>
      <c r="C174" t="s">
        <v>87</v>
      </c>
      <c r="D174" t="s">
        <v>180</v>
      </c>
      <c r="E174">
        <v>1823.77</v>
      </c>
      <c r="F174" t="s">
        <v>34</v>
      </c>
      <c r="G174" t="s">
        <v>12</v>
      </c>
      <c r="H174" t="s">
        <v>174</v>
      </c>
    </row>
    <row r="175" spans="1:8" x14ac:dyDescent="0.3">
      <c r="A175" s="1">
        <v>45447</v>
      </c>
      <c r="B175" t="s">
        <v>57</v>
      </c>
      <c r="C175" t="s">
        <v>90</v>
      </c>
      <c r="D175" t="s">
        <v>170</v>
      </c>
      <c r="E175">
        <v>966.53</v>
      </c>
      <c r="F175" t="s">
        <v>94</v>
      </c>
      <c r="G175" t="s">
        <v>12</v>
      </c>
      <c r="H175" t="s">
        <v>174</v>
      </c>
    </row>
    <row r="176" spans="1:8" x14ac:dyDescent="0.3">
      <c r="A176" s="1">
        <v>45448</v>
      </c>
      <c r="B176" t="s">
        <v>8</v>
      </c>
      <c r="C176" t="s">
        <v>110</v>
      </c>
      <c r="D176" t="s">
        <v>181</v>
      </c>
      <c r="E176">
        <v>3207.77</v>
      </c>
      <c r="F176" t="s">
        <v>21</v>
      </c>
      <c r="G176" t="s">
        <v>17</v>
      </c>
      <c r="H176" t="s">
        <v>174</v>
      </c>
    </row>
    <row r="177" spans="1:8" x14ac:dyDescent="0.3">
      <c r="A177" s="1">
        <v>45464</v>
      </c>
      <c r="B177" t="s">
        <v>8</v>
      </c>
      <c r="C177" t="s">
        <v>9</v>
      </c>
      <c r="D177" t="s">
        <v>10</v>
      </c>
      <c r="E177">
        <v>1692.33</v>
      </c>
      <c r="F177" t="s">
        <v>34</v>
      </c>
      <c r="G177" t="s">
        <v>12</v>
      </c>
      <c r="H177" t="s">
        <v>174</v>
      </c>
    </row>
    <row r="178" spans="1:8" x14ac:dyDescent="0.3">
      <c r="A178" s="1">
        <v>45449</v>
      </c>
      <c r="B178" t="s">
        <v>31</v>
      </c>
      <c r="C178" t="s">
        <v>32</v>
      </c>
      <c r="D178" t="s">
        <v>33</v>
      </c>
      <c r="E178">
        <v>2903.45</v>
      </c>
      <c r="F178" t="s">
        <v>11</v>
      </c>
      <c r="G178" t="s">
        <v>12</v>
      </c>
      <c r="H178" t="s">
        <v>174</v>
      </c>
    </row>
    <row r="179" spans="1:8" x14ac:dyDescent="0.3">
      <c r="A179" s="1">
        <v>45469</v>
      </c>
      <c r="B179" t="s">
        <v>18</v>
      </c>
      <c r="C179" t="s">
        <v>28</v>
      </c>
      <c r="D179" t="s">
        <v>182</v>
      </c>
      <c r="E179">
        <v>169.71</v>
      </c>
      <c r="F179" t="s">
        <v>21</v>
      </c>
      <c r="G179" t="s">
        <v>12</v>
      </c>
      <c r="H179" t="s">
        <v>174</v>
      </c>
    </row>
    <row r="180" spans="1:8" x14ac:dyDescent="0.3">
      <c r="A180" s="1">
        <v>45465</v>
      </c>
      <c r="B180" t="s">
        <v>14</v>
      </c>
      <c r="C180" t="s">
        <v>66</v>
      </c>
      <c r="D180" t="s">
        <v>162</v>
      </c>
      <c r="E180">
        <v>2346.5500000000002</v>
      </c>
      <c r="F180" t="s">
        <v>34</v>
      </c>
      <c r="G180" t="s">
        <v>12</v>
      </c>
      <c r="H180" t="s">
        <v>174</v>
      </c>
    </row>
    <row r="181" spans="1:8" x14ac:dyDescent="0.3">
      <c r="A181" s="1">
        <v>45457</v>
      </c>
      <c r="B181" t="s">
        <v>18</v>
      </c>
      <c r="C181" t="s">
        <v>39</v>
      </c>
      <c r="D181" t="s">
        <v>183</v>
      </c>
      <c r="E181">
        <v>29.64</v>
      </c>
      <c r="F181" t="s">
        <v>30</v>
      </c>
      <c r="G181" t="s">
        <v>17</v>
      </c>
      <c r="H181" t="s">
        <v>174</v>
      </c>
    </row>
    <row r="182" spans="1:8" x14ac:dyDescent="0.3">
      <c r="A182" s="1">
        <v>45463</v>
      </c>
      <c r="B182" t="s">
        <v>25</v>
      </c>
      <c r="C182" t="s">
        <v>95</v>
      </c>
      <c r="D182" t="s">
        <v>121</v>
      </c>
      <c r="E182">
        <v>1312.92</v>
      </c>
      <c r="F182" t="s">
        <v>86</v>
      </c>
      <c r="G182" t="s">
        <v>12</v>
      </c>
      <c r="H182" t="s">
        <v>174</v>
      </c>
    </row>
    <row r="183" spans="1:8" x14ac:dyDescent="0.3">
      <c r="A183" s="1">
        <v>45446</v>
      </c>
      <c r="B183" t="s">
        <v>8</v>
      </c>
      <c r="C183" t="s">
        <v>37</v>
      </c>
      <c r="D183" t="s">
        <v>106</v>
      </c>
      <c r="E183">
        <v>575.24</v>
      </c>
      <c r="F183" t="s">
        <v>34</v>
      </c>
      <c r="G183" t="s">
        <v>12</v>
      </c>
      <c r="H183" t="s">
        <v>174</v>
      </c>
    </row>
    <row r="184" spans="1:8" x14ac:dyDescent="0.3">
      <c r="A184" s="1">
        <v>45456</v>
      </c>
      <c r="B184" t="s">
        <v>8</v>
      </c>
      <c r="C184" t="s">
        <v>37</v>
      </c>
      <c r="D184" t="s">
        <v>106</v>
      </c>
      <c r="E184">
        <v>430.45</v>
      </c>
      <c r="F184" t="s">
        <v>11</v>
      </c>
      <c r="G184" t="s">
        <v>12</v>
      </c>
      <c r="H184" t="s">
        <v>174</v>
      </c>
    </row>
    <row r="185" spans="1:8" x14ac:dyDescent="0.3">
      <c r="A185" s="1">
        <v>45456</v>
      </c>
      <c r="B185" t="s">
        <v>57</v>
      </c>
      <c r="C185" t="s">
        <v>104</v>
      </c>
      <c r="D185" t="s">
        <v>114</v>
      </c>
      <c r="E185">
        <v>4088.82</v>
      </c>
      <c r="F185" t="s">
        <v>30</v>
      </c>
      <c r="G185" t="s">
        <v>12</v>
      </c>
      <c r="H185" t="s">
        <v>174</v>
      </c>
    </row>
    <row r="186" spans="1:8" x14ac:dyDescent="0.3">
      <c r="A186" s="1">
        <v>45463</v>
      </c>
      <c r="B186" t="s">
        <v>31</v>
      </c>
      <c r="C186" t="s">
        <v>53</v>
      </c>
      <c r="D186" t="s">
        <v>164</v>
      </c>
      <c r="E186">
        <v>342.11</v>
      </c>
      <c r="F186" t="s">
        <v>30</v>
      </c>
      <c r="G186" t="s">
        <v>12</v>
      </c>
      <c r="H186" t="s">
        <v>174</v>
      </c>
    </row>
    <row r="187" spans="1:8" x14ac:dyDescent="0.3">
      <c r="A187" s="1">
        <v>45458</v>
      </c>
      <c r="B187" t="s">
        <v>57</v>
      </c>
      <c r="C187" t="s">
        <v>92</v>
      </c>
      <c r="D187" t="s">
        <v>184</v>
      </c>
      <c r="E187">
        <v>4203.63</v>
      </c>
      <c r="F187" t="s">
        <v>86</v>
      </c>
      <c r="G187" t="s">
        <v>12</v>
      </c>
      <c r="H187" t="s">
        <v>174</v>
      </c>
    </row>
    <row r="188" spans="1:8" x14ac:dyDescent="0.3">
      <c r="A188" s="1">
        <v>45460</v>
      </c>
      <c r="B188" t="s">
        <v>14</v>
      </c>
      <c r="C188" t="s">
        <v>107</v>
      </c>
      <c r="D188" t="s">
        <v>108</v>
      </c>
      <c r="E188">
        <v>3424.69</v>
      </c>
      <c r="F188" t="s">
        <v>21</v>
      </c>
      <c r="G188" t="s">
        <v>12</v>
      </c>
      <c r="H188" t="s">
        <v>174</v>
      </c>
    </row>
    <row r="189" spans="1:8" x14ac:dyDescent="0.3">
      <c r="A189" s="1">
        <v>45452</v>
      </c>
      <c r="B189" t="s">
        <v>25</v>
      </c>
      <c r="C189" t="s">
        <v>95</v>
      </c>
      <c r="D189" t="s">
        <v>185</v>
      </c>
      <c r="E189">
        <v>749.41</v>
      </c>
      <c r="F189" t="s">
        <v>86</v>
      </c>
      <c r="G189" t="s">
        <v>12</v>
      </c>
      <c r="H189" t="s">
        <v>174</v>
      </c>
    </row>
    <row r="190" spans="1:8" x14ac:dyDescent="0.3">
      <c r="A190" s="1">
        <v>45461</v>
      </c>
      <c r="B190" t="s">
        <v>8</v>
      </c>
      <c r="C190" t="s">
        <v>110</v>
      </c>
      <c r="D190" t="s">
        <v>154</v>
      </c>
      <c r="E190">
        <v>3326.64</v>
      </c>
      <c r="F190" t="s">
        <v>21</v>
      </c>
      <c r="G190" t="s">
        <v>17</v>
      </c>
      <c r="H190" t="s">
        <v>174</v>
      </c>
    </row>
    <row r="191" spans="1:8" x14ac:dyDescent="0.3">
      <c r="A191" s="1">
        <v>45471</v>
      </c>
      <c r="B191" t="s">
        <v>18</v>
      </c>
      <c r="C191" t="s">
        <v>39</v>
      </c>
      <c r="D191" t="s">
        <v>186</v>
      </c>
      <c r="E191">
        <v>583.09</v>
      </c>
      <c r="F191" t="s">
        <v>21</v>
      </c>
      <c r="G191" t="s">
        <v>17</v>
      </c>
      <c r="H191" t="s">
        <v>174</v>
      </c>
    </row>
    <row r="192" spans="1:8" x14ac:dyDescent="0.3">
      <c r="A192" s="1">
        <v>45444</v>
      </c>
      <c r="B192" t="s">
        <v>25</v>
      </c>
      <c r="C192" t="s">
        <v>87</v>
      </c>
      <c r="D192" t="s">
        <v>88</v>
      </c>
      <c r="E192">
        <v>1584.61</v>
      </c>
      <c r="F192" t="s">
        <v>21</v>
      </c>
      <c r="G192" t="s">
        <v>12</v>
      </c>
      <c r="H192" t="s">
        <v>174</v>
      </c>
    </row>
    <row r="193" spans="1:8" x14ac:dyDescent="0.3">
      <c r="A193" s="1">
        <v>45465</v>
      </c>
      <c r="B193" t="s">
        <v>18</v>
      </c>
      <c r="C193" t="s">
        <v>68</v>
      </c>
      <c r="D193" t="s">
        <v>187</v>
      </c>
      <c r="E193">
        <v>358.03</v>
      </c>
      <c r="F193" t="s">
        <v>21</v>
      </c>
      <c r="G193" t="s">
        <v>12</v>
      </c>
      <c r="H193" t="s">
        <v>174</v>
      </c>
    </row>
    <row r="194" spans="1:8" x14ac:dyDescent="0.3">
      <c r="A194" s="1">
        <v>45467</v>
      </c>
      <c r="B194" t="s">
        <v>25</v>
      </c>
      <c r="C194" t="s">
        <v>87</v>
      </c>
      <c r="D194" t="s">
        <v>180</v>
      </c>
      <c r="E194">
        <v>590.69000000000005</v>
      </c>
      <c r="F194" t="s">
        <v>21</v>
      </c>
      <c r="G194" t="s">
        <v>12</v>
      </c>
      <c r="H194" t="s">
        <v>174</v>
      </c>
    </row>
    <row r="195" spans="1:8" x14ac:dyDescent="0.3">
      <c r="A195" s="1">
        <v>45447</v>
      </c>
      <c r="B195" t="s">
        <v>31</v>
      </c>
      <c r="C195" t="s">
        <v>188</v>
      </c>
      <c r="D195" t="s">
        <v>189</v>
      </c>
      <c r="E195">
        <v>2405.62</v>
      </c>
      <c r="F195" t="s">
        <v>86</v>
      </c>
      <c r="G195" t="s">
        <v>17</v>
      </c>
      <c r="H195" t="s">
        <v>174</v>
      </c>
    </row>
    <row r="196" spans="1:8" x14ac:dyDescent="0.3">
      <c r="A196" s="1">
        <v>45465</v>
      </c>
      <c r="B196" t="s">
        <v>22</v>
      </c>
      <c r="C196" t="s">
        <v>167</v>
      </c>
      <c r="D196" t="s">
        <v>190</v>
      </c>
      <c r="E196">
        <v>305.85000000000002</v>
      </c>
      <c r="F196" t="s">
        <v>21</v>
      </c>
      <c r="G196" t="s">
        <v>12</v>
      </c>
      <c r="H196" t="s">
        <v>174</v>
      </c>
    </row>
    <row r="197" spans="1:8" x14ac:dyDescent="0.3">
      <c r="A197" s="1">
        <v>45472</v>
      </c>
      <c r="B197" t="s">
        <v>25</v>
      </c>
      <c r="C197" t="s">
        <v>70</v>
      </c>
      <c r="D197" t="s">
        <v>71</v>
      </c>
      <c r="E197">
        <v>567.47</v>
      </c>
      <c r="F197" t="s">
        <v>21</v>
      </c>
      <c r="G197" t="s">
        <v>12</v>
      </c>
      <c r="H197" t="s">
        <v>174</v>
      </c>
    </row>
    <row r="198" spans="1:8" x14ac:dyDescent="0.3">
      <c r="A198" s="1">
        <v>45461</v>
      </c>
      <c r="B198" t="s">
        <v>57</v>
      </c>
      <c r="C198" t="s">
        <v>46</v>
      </c>
      <c r="D198" t="s">
        <v>191</v>
      </c>
      <c r="E198">
        <v>4524.8599999999997</v>
      </c>
      <c r="F198" t="s">
        <v>30</v>
      </c>
      <c r="G198" t="s">
        <v>12</v>
      </c>
      <c r="H198" t="s">
        <v>174</v>
      </c>
    </row>
    <row r="199" spans="1:8" x14ac:dyDescent="0.3">
      <c r="A199" s="1">
        <v>45468</v>
      </c>
      <c r="B199" t="s">
        <v>14</v>
      </c>
      <c r="C199" t="s">
        <v>66</v>
      </c>
      <c r="D199" t="s">
        <v>67</v>
      </c>
      <c r="E199">
        <v>1818.98</v>
      </c>
      <c r="F199" t="s">
        <v>11</v>
      </c>
      <c r="G199" t="s">
        <v>12</v>
      </c>
      <c r="H199" t="s">
        <v>174</v>
      </c>
    </row>
    <row r="200" spans="1:8" x14ac:dyDescent="0.3">
      <c r="A200" s="1">
        <v>45458</v>
      </c>
      <c r="B200" t="s">
        <v>25</v>
      </c>
      <c r="C200" t="s">
        <v>26</v>
      </c>
      <c r="D200" t="s">
        <v>140</v>
      </c>
      <c r="E200">
        <v>253.97</v>
      </c>
      <c r="F200" t="s">
        <v>21</v>
      </c>
      <c r="G200" t="s">
        <v>12</v>
      </c>
      <c r="H200" t="s">
        <v>155</v>
      </c>
    </row>
    <row r="201" spans="1:8" x14ac:dyDescent="0.3">
      <c r="A201" s="1">
        <v>45458</v>
      </c>
      <c r="B201" t="s">
        <v>41</v>
      </c>
      <c r="C201" t="s">
        <v>42</v>
      </c>
      <c r="D201" t="s">
        <v>149</v>
      </c>
      <c r="E201">
        <v>703.25</v>
      </c>
      <c r="F201" t="s">
        <v>21</v>
      </c>
      <c r="G201" t="s">
        <v>17</v>
      </c>
      <c r="H201" t="s">
        <v>138</v>
      </c>
    </row>
    <row r="202" spans="1:8" x14ac:dyDescent="0.3">
      <c r="A202" s="1"/>
    </row>
  </sheetData>
  <conditionalFormatting sqref="E2:E201">
    <cfRule type="colorScale" priority="4">
      <colorScale>
        <cfvo type="min"/>
        <cfvo type="percentile" val="50"/>
        <cfvo type="max"/>
        <color rgb="FFF8696B"/>
        <color rgb="FFFFEB84"/>
        <color rgb="FF63BE7B"/>
      </colorScale>
    </cfRule>
  </conditionalFormatting>
  <conditionalFormatting sqref="G2:G201">
    <cfRule type="cellIs" dxfId="0" priority="2" operator="equal">
      <formula>"Want"</formula>
    </cfRule>
    <cfRule type="cellIs" priority="3" operator="equal">
      <formula>"Want"</formula>
    </cfRule>
  </conditionalFormatting>
  <dataValidations count="1">
    <dataValidation type="list" allowBlank="1" showInputMessage="1" showErrorMessage="1" sqref="F2:F201" xr:uid="{31BCBFEF-E6B2-4F77-AEDE-BABB193E65EA}">
      <formula1>"Cash, UPI, Credit Card, Debit Card"</formula1>
    </dataValidation>
  </dataValidations>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1" id="{38402883-9F40-4B41-83D2-559D7F7ED7FD}">
            <x14:iconSet iconSet="3Triangles">
              <x14:cfvo type="percent">
                <xm:f>0</xm:f>
              </x14:cfvo>
              <x14:cfvo type="percent">
                <xm:f>33</xm:f>
              </x14:cfvo>
              <x14:cfvo type="percent">
                <xm:f>67</xm:f>
              </x14:cfvo>
            </x14:iconSet>
          </x14:cfRule>
          <xm:sqref>E1:E201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4561E-ABEA-4EAC-8A80-3DA0DC52278E}">
  <dimension ref="C3:F41"/>
  <sheetViews>
    <sheetView topLeftCell="B1" zoomScale="85" workbookViewId="0">
      <selection activeCell="D3" sqref="D3"/>
    </sheetView>
  </sheetViews>
  <sheetFormatPr defaultRowHeight="14.4" x14ac:dyDescent="0.3"/>
  <cols>
    <col min="4" max="4" width="42.33203125" customWidth="1"/>
    <col min="5" max="5" width="25.44140625" customWidth="1"/>
    <col min="6" max="6" width="44.33203125" customWidth="1"/>
    <col min="7" max="7" width="22.21875" customWidth="1"/>
    <col min="9" max="9" width="35.44140625" customWidth="1"/>
  </cols>
  <sheetData>
    <row r="3" spans="3:5" x14ac:dyDescent="0.3">
      <c r="C3" t="s">
        <v>195</v>
      </c>
      <c r="D3" t="s">
        <v>192</v>
      </c>
      <c r="E3" t="s">
        <v>193</v>
      </c>
    </row>
    <row r="4" spans="3:5" ht="39.6" x14ac:dyDescent="0.3">
      <c r="C4" s="4">
        <v>1</v>
      </c>
      <c r="D4" s="3" t="s">
        <v>194</v>
      </c>
      <c r="E4">
        <f>AVERAGE(Table1[[Amount ]])</f>
        <v>1477.2451999999996</v>
      </c>
    </row>
    <row r="5" spans="3:5" ht="39.6" x14ac:dyDescent="0.3">
      <c r="C5" s="4">
        <v>2</v>
      </c>
      <c r="D5" s="5" t="s">
        <v>196</v>
      </c>
      <c r="E5">
        <f>MIN(Table1[[Amount ]])</f>
        <v>29.64</v>
      </c>
    </row>
    <row r="6" spans="3:5" ht="39.6" x14ac:dyDescent="0.3">
      <c r="C6" s="4">
        <v>3</v>
      </c>
      <c r="D6" s="3" t="s">
        <v>197</v>
      </c>
      <c r="E6">
        <f>MAX(student_budget_practice!E2:E201)</f>
        <v>5667.9</v>
      </c>
    </row>
    <row r="7" spans="3:5" ht="39.6" x14ac:dyDescent="0.3">
      <c r="C7" s="4">
        <v>4</v>
      </c>
      <c r="D7" s="5" t="s">
        <v>198</v>
      </c>
      <c r="E7">
        <f>MEDIAN(Table1[[Amount ]])</f>
        <v>1110.625</v>
      </c>
    </row>
    <row r="8" spans="3:5" ht="39.6" x14ac:dyDescent="0.3">
      <c r="C8" s="4">
        <v>5</v>
      </c>
      <c r="D8" s="3" t="s">
        <v>199</v>
      </c>
      <c r="E8">
        <f>COUNTIF(Table1[Expense Type],"Need")</f>
        <v>131</v>
      </c>
    </row>
    <row r="9" spans="3:5" ht="39.6" x14ac:dyDescent="0.3">
      <c r="C9" s="4">
        <v>6</v>
      </c>
      <c r="D9" s="5" t="s">
        <v>200</v>
      </c>
      <c r="E9">
        <f>SUMIF(Table1[Category],"Food",Table1[[Amount ]])</f>
        <v>6060.6</v>
      </c>
    </row>
    <row r="10" spans="3:5" ht="28.8" x14ac:dyDescent="0.3">
      <c r="C10" s="4">
        <v>7</v>
      </c>
      <c r="D10" s="6" t="s">
        <v>201</v>
      </c>
      <c r="E10" s="7" t="s">
        <v>202</v>
      </c>
    </row>
    <row r="11" spans="3:5" ht="26.4" x14ac:dyDescent="0.3">
      <c r="C11" s="4">
        <v>8</v>
      </c>
      <c r="D11" s="5" t="s">
        <v>203</v>
      </c>
      <c r="E11" s="7" t="s">
        <v>202</v>
      </c>
    </row>
    <row r="12" spans="3:5" ht="26.4" x14ac:dyDescent="0.3">
      <c r="C12" s="4">
        <v>9</v>
      </c>
      <c r="D12" s="3" t="s">
        <v>204</v>
      </c>
      <c r="E12" s="7">
        <f>AVERAGE(AllAmount)</f>
        <v>1477.2451999999996</v>
      </c>
    </row>
    <row r="13" spans="3:5" ht="39.6" x14ac:dyDescent="0.3">
      <c r="C13" s="4">
        <v>10</v>
      </c>
      <c r="D13" s="5" t="s">
        <v>205</v>
      </c>
      <c r="E13" s="7">
        <f>STDEV(AllAmount)</f>
        <v>1329.6744656406872</v>
      </c>
    </row>
    <row r="14" spans="3:5" ht="26.4" x14ac:dyDescent="0.3">
      <c r="C14" s="4">
        <v>11</v>
      </c>
      <c r="D14" s="3" t="s">
        <v>225</v>
      </c>
      <c r="E14">
        <f>VLOOKUP(Q21_Lookup_Table!A6,Q21_Lookup_Table!A1:C10,2,)</f>
        <v>1500</v>
      </c>
    </row>
    <row r="15" spans="3:5" ht="39.6" x14ac:dyDescent="0.3">
      <c r="C15" s="4">
        <v>12</v>
      </c>
      <c r="D15" s="5" t="s">
        <v>227</v>
      </c>
      <c r="E15" s="7" t="s">
        <v>226</v>
      </c>
    </row>
    <row r="16" spans="3:5" ht="26.4" x14ac:dyDescent="0.3">
      <c r="C16" s="4">
        <v>13</v>
      </c>
      <c r="D16" s="3" t="s">
        <v>206</v>
      </c>
      <c r="E16">
        <f>_xlfn.XLOOKUP('Q13'!F4,'Q13'!A4:H4,'Q13'!A5:H5,0,0,1)</f>
        <v>52283.01</v>
      </c>
    </row>
    <row r="17" spans="3:6" ht="39.6" x14ac:dyDescent="0.3">
      <c r="C17" s="4">
        <v>14</v>
      </c>
      <c r="D17" s="5" t="s">
        <v>232</v>
      </c>
      <c r="E17" s="16" t="str">
        <f>INDEX(Table1[Description],MATCH(MAX(Table1[[Amount ]]),Table1[[Amount ]],0))</f>
        <v>PG accommodation fee</v>
      </c>
    </row>
    <row r="18" spans="3:6" ht="39.6" x14ac:dyDescent="0.3">
      <c r="C18" s="4">
        <v>15</v>
      </c>
      <c r="D18" s="3" t="s">
        <v>233</v>
      </c>
      <c r="E18" s="7" t="str">
        <f>INDEX(Table1[Payment Method],MATCH(MIN(Table1[[Amount ]]),Table1[[Amount ]],0))</f>
        <v>Debit Card</v>
      </c>
    </row>
    <row r="19" spans="3:6" ht="39.6" x14ac:dyDescent="0.3">
      <c r="C19" s="4">
        <v>16</v>
      </c>
      <c r="D19" s="5" t="s">
        <v>207</v>
      </c>
      <c r="E19" s="7" t="s">
        <v>202</v>
      </c>
    </row>
    <row r="20" spans="3:6" ht="26.4" x14ac:dyDescent="0.3">
      <c r="C20" s="4">
        <v>17</v>
      </c>
      <c r="D20" s="3" t="s">
        <v>208</v>
      </c>
      <c r="E20" s="7" t="s">
        <v>202</v>
      </c>
    </row>
    <row r="21" spans="3:6" ht="39.6" x14ac:dyDescent="0.3">
      <c r="C21" s="4">
        <v>18</v>
      </c>
      <c r="D21" s="5" t="s">
        <v>237</v>
      </c>
      <c r="E21">
        <f>AVERAGEIF(Table1[Expense Type],"Want",Table1[[Amount ]])</f>
        <v>1410.6285507246371</v>
      </c>
    </row>
    <row r="22" spans="3:6" ht="26.4" x14ac:dyDescent="0.3">
      <c r="C22" s="4">
        <v>19</v>
      </c>
      <c r="D22" s="3" t="s">
        <v>238</v>
      </c>
      <c r="E22" cm="1">
        <f t="array" ref="E22">MODE(ROUND(Table1[[Amount ]],-2))</f>
        <v>100</v>
      </c>
    </row>
    <row r="23" spans="3:6" ht="26.4" x14ac:dyDescent="0.3">
      <c r="C23" s="4">
        <v>20</v>
      </c>
      <c r="D23" s="5" t="s">
        <v>209</v>
      </c>
      <c r="E23" s="7" t="s">
        <v>202</v>
      </c>
    </row>
    <row r="24" spans="3:6" ht="52.8" x14ac:dyDescent="0.3">
      <c r="C24" s="4">
        <v>21</v>
      </c>
      <c r="D24" s="3" t="s">
        <v>210</v>
      </c>
      <c r="E24" s="7" t="s">
        <v>202</v>
      </c>
    </row>
    <row r="25" spans="3:6" ht="39.6" x14ac:dyDescent="0.3">
      <c r="C25" s="4">
        <v>22</v>
      </c>
      <c r="D25" s="5" t="s">
        <v>244</v>
      </c>
      <c r="E25" s="7" t="s">
        <v>202</v>
      </c>
    </row>
    <row r="26" spans="3:6" ht="52.8" x14ac:dyDescent="0.3">
      <c r="C26" s="4">
        <v>23</v>
      </c>
      <c r="D26" s="3" t="s">
        <v>211</v>
      </c>
      <c r="E26" s="7" t="s">
        <v>202</v>
      </c>
    </row>
    <row r="27" spans="3:6" ht="52.8" x14ac:dyDescent="0.3">
      <c r="C27" s="4">
        <v>24</v>
      </c>
      <c r="D27" s="5" t="s">
        <v>212</v>
      </c>
      <c r="E27">
        <f>AVERAGE(student_budget_practice!E2:E201)</f>
        <v>1477.2451999999996</v>
      </c>
      <c r="F27" t="s">
        <v>252</v>
      </c>
    </row>
    <row r="28" spans="3:6" ht="79.2" x14ac:dyDescent="0.3">
      <c r="C28" s="4">
        <v>25</v>
      </c>
      <c r="D28" s="3" t="s">
        <v>213</v>
      </c>
      <c r="E28" s="7" t="str">
        <f>INDEX('Q13'!B4:G4,MATCH(MAX('Q13'!B5:G5),'Q13'!B5:G5,0))</f>
        <v>March</v>
      </c>
    </row>
    <row r="29" spans="3:6" ht="79.2" x14ac:dyDescent="0.3">
      <c r="C29" s="4">
        <v>26</v>
      </c>
      <c r="D29" s="5" t="s">
        <v>214</v>
      </c>
      <c r="E29" cm="1">
        <f t="array" ref="E29">SUMPRODUCT((student_budget_practice!F2:F201="UPI")*(student_budget_practice!G2:G201="Need")*(student_budget_practice!H2:H201="March")*student_budget_practice!E2:E201)</f>
        <v>11327.29</v>
      </c>
    </row>
    <row r="30" spans="3:6" ht="39.6" x14ac:dyDescent="0.3">
      <c r="C30" s="4">
        <v>27</v>
      </c>
      <c r="D30" s="3" t="s">
        <v>215</v>
      </c>
      <c r="E30" s="7" t="s">
        <v>202</v>
      </c>
    </row>
    <row r="31" spans="3:6" ht="52.8" x14ac:dyDescent="0.3">
      <c r="C31" s="4">
        <v>28</v>
      </c>
      <c r="D31" s="5" t="s">
        <v>216</v>
      </c>
      <c r="E31" s="7" t="s">
        <v>202</v>
      </c>
    </row>
    <row r="32" spans="3:6" ht="39.6" x14ac:dyDescent="0.3">
      <c r="C32" s="4">
        <v>29</v>
      </c>
      <c r="D32" s="3" t="s">
        <v>217</v>
      </c>
      <c r="E32" s="7" t="s">
        <v>202</v>
      </c>
    </row>
    <row r="33" spans="3:5" ht="66" x14ac:dyDescent="0.3">
      <c r="C33" s="4">
        <v>30</v>
      </c>
      <c r="D33" s="5" t="s">
        <v>218</v>
      </c>
      <c r="E33" s="7" t="s">
        <v>202</v>
      </c>
    </row>
    <row r="34" spans="3:5" x14ac:dyDescent="0.3">
      <c r="C34" s="4"/>
    </row>
    <row r="35" spans="3:5" x14ac:dyDescent="0.3">
      <c r="C35" s="4"/>
    </row>
    <row r="36" spans="3:5" x14ac:dyDescent="0.3">
      <c r="C36" s="4"/>
    </row>
    <row r="37" spans="3:5" x14ac:dyDescent="0.3">
      <c r="C37" s="4"/>
    </row>
    <row r="38" spans="3:5" x14ac:dyDescent="0.3">
      <c r="C38" s="4"/>
    </row>
    <row r="39" spans="3:5" x14ac:dyDescent="0.3">
      <c r="C39" s="4"/>
    </row>
    <row r="40" spans="3:5" x14ac:dyDescent="0.3">
      <c r="C40" s="4"/>
    </row>
    <row r="41" spans="3:5" x14ac:dyDescent="0.3">
      <c r="C41"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9914B-BCDD-456B-9F14-0C8CEC7DF1F9}">
  <dimension ref="D2:D203"/>
  <sheetViews>
    <sheetView topLeftCell="A7" workbookViewId="0">
      <selection activeCell="D2" sqref="D2"/>
    </sheetView>
  </sheetViews>
  <sheetFormatPr defaultRowHeight="14.4" x14ac:dyDescent="0.3"/>
  <cols>
    <col min="4" max="4" width="21.109375" customWidth="1"/>
  </cols>
  <sheetData>
    <row r="2" spans="4:4" x14ac:dyDescent="0.3">
      <c r="D2" s="2" t="s">
        <v>228</v>
      </c>
    </row>
    <row r="4" spans="4:4" x14ac:dyDescent="0.3">
      <c r="D4" t="str" cm="1">
        <f t="array" ref="D4:D203">VLOOKUP(Table1[Category],Q21_Lookup_Table!A3:C10,3,)</f>
        <v>Discretionary</v>
      </c>
    </row>
    <row r="5" spans="4:4" x14ac:dyDescent="0.3">
      <c r="D5" t="str">
        <v>Variable</v>
      </c>
    </row>
    <row r="6" spans="4:4" x14ac:dyDescent="0.3">
      <c r="D6" t="str">
        <v>Essential</v>
      </c>
    </row>
    <row r="7" spans="4:4" x14ac:dyDescent="0.3">
      <c r="D7" t="str">
        <v>Essential</v>
      </c>
    </row>
    <row r="8" spans="4:4" x14ac:dyDescent="0.3">
      <c r="D8" t="str">
        <v>Essential</v>
      </c>
    </row>
    <row r="9" spans="4:4" x14ac:dyDescent="0.3">
      <c r="D9" t="str">
        <v>Essential</v>
      </c>
    </row>
    <row r="10" spans="4:4" x14ac:dyDescent="0.3">
      <c r="D10" t="str">
        <v>Essential</v>
      </c>
    </row>
    <row r="11" spans="4:4" x14ac:dyDescent="0.3">
      <c r="D11" t="str">
        <v>Discretionary</v>
      </c>
    </row>
    <row r="12" spans="4:4" x14ac:dyDescent="0.3">
      <c r="D12" t="str">
        <v>Discretionary</v>
      </c>
    </row>
    <row r="13" spans="4:4" x14ac:dyDescent="0.3">
      <c r="D13" t="str">
        <v>Essential</v>
      </c>
    </row>
    <row r="14" spans="4:4" x14ac:dyDescent="0.3">
      <c r="D14" t="str">
        <v>Discretionary</v>
      </c>
    </row>
    <row r="15" spans="4:4" x14ac:dyDescent="0.3">
      <c r="D15" t="str">
        <v>Discretionary</v>
      </c>
    </row>
    <row r="16" spans="4:4" x14ac:dyDescent="0.3">
      <c r="D16" t="str">
        <v>Discretionary</v>
      </c>
    </row>
    <row r="17" spans="4:4" x14ac:dyDescent="0.3">
      <c r="D17" t="str">
        <v>Variable</v>
      </c>
    </row>
    <row r="18" spans="4:4" x14ac:dyDescent="0.3">
      <c r="D18" t="str">
        <v>Essential</v>
      </c>
    </row>
    <row r="19" spans="4:4" x14ac:dyDescent="0.3">
      <c r="D19" t="str">
        <v>Variable</v>
      </c>
    </row>
    <row r="20" spans="4:4" x14ac:dyDescent="0.3">
      <c r="D20" t="str">
        <v>Essential</v>
      </c>
    </row>
    <row r="21" spans="4:4" x14ac:dyDescent="0.3">
      <c r="D21" t="str">
        <v>Essential</v>
      </c>
    </row>
    <row r="22" spans="4:4" x14ac:dyDescent="0.3">
      <c r="D22" t="str">
        <v>Essential</v>
      </c>
    </row>
    <row r="23" spans="4:4" x14ac:dyDescent="0.3">
      <c r="D23" t="str">
        <v>Essential</v>
      </c>
    </row>
    <row r="24" spans="4:4" x14ac:dyDescent="0.3">
      <c r="D24" t="str">
        <v>Variable</v>
      </c>
    </row>
    <row r="25" spans="4:4" x14ac:dyDescent="0.3">
      <c r="D25" t="str">
        <v>Essential</v>
      </c>
    </row>
    <row r="26" spans="4:4" x14ac:dyDescent="0.3">
      <c r="D26" t="str">
        <v>Discretionary</v>
      </c>
    </row>
    <row r="27" spans="4:4" x14ac:dyDescent="0.3">
      <c r="D27" t="str">
        <v>Discretionary</v>
      </c>
    </row>
    <row r="28" spans="4:4" x14ac:dyDescent="0.3">
      <c r="D28" t="str">
        <v>Essential</v>
      </c>
    </row>
    <row r="29" spans="4:4" x14ac:dyDescent="0.3">
      <c r="D29" t="str">
        <v>Essential</v>
      </c>
    </row>
    <row r="30" spans="4:4" x14ac:dyDescent="0.3">
      <c r="D30" t="str">
        <v>Essential</v>
      </c>
    </row>
    <row r="31" spans="4:4" x14ac:dyDescent="0.3">
      <c r="D31" t="str">
        <v>Discretionary</v>
      </c>
    </row>
    <row r="32" spans="4:4" x14ac:dyDescent="0.3">
      <c r="D32" t="str">
        <v>Essential</v>
      </c>
    </row>
    <row r="33" spans="4:4" x14ac:dyDescent="0.3">
      <c r="D33" t="str">
        <v>Discretionary</v>
      </c>
    </row>
    <row r="34" spans="4:4" x14ac:dyDescent="0.3">
      <c r="D34" t="str">
        <v>Variable</v>
      </c>
    </row>
    <row r="35" spans="4:4" x14ac:dyDescent="0.3">
      <c r="D35" t="str">
        <v>Essential</v>
      </c>
    </row>
    <row r="36" spans="4:4" x14ac:dyDescent="0.3">
      <c r="D36" t="str">
        <v>Essential</v>
      </c>
    </row>
    <row r="37" spans="4:4" x14ac:dyDescent="0.3">
      <c r="D37" t="str">
        <v>Variable</v>
      </c>
    </row>
    <row r="38" spans="4:4" x14ac:dyDescent="0.3">
      <c r="D38" t="str">
        <v>Discretionary</v>
      </c>
    </row>
    <row r="39" spans="4:4" x14ac:dyDescent="0.3">
      <c r="D39" t="str">
        <v>Essential</v>
      </c>
    </row>
    <row r="40" spans="4:4" x14ac:dyDescent="0.3">
      <c r="D40" t="str">
        <v>Discretionary</v>
      </c>
    </row>
    <row r="41" spans="4:4" x14ac:dyDescent="0.3">
      <c r="D41" t="str">
        <v>Essential</v>
      </c>
    </row>
    <row r="42" spans="4:4" x14ac:dyDescent="0.3">
      <c r="D42" t="str">
        <v>Essential</v>
      </c>
    </row>
    <row r="43" spans="4:4" x14ac:dyDescent="0.3">
      <c r="D43" t="str">
        <v>Essential</v>
      </c>
    </row>
    <row r="44" spans="4:4" x14ac:dyDescent="0.3">
      <c r="D44" t="str">
        <v>Essential</v>
      </c>
    </row>
    <row r="45" spans="4:4" x14ac:dyDescent="0.3">
      <c r="D45" t="str">
        <v>Essential</v>
      </c>
    </row>
    <row r="46" spans="4:4" x14ac:dyDescent="0.3">
      <c r="D46" t="str">
        <v>Essential</v>
      </c>
    </row>
    <row r="47" spans="4:4" x14ac:dyDescent="0.3">
      <c r="D47" t="str">
        <v>Essential</v>
      </c>
    </row>
    <row r="48" spans="4:4" x14ac:dyDescent="0.3">
      <c r="D48" t="str">
        <v>Essential</v>
      </c>
    </row>
    <row r="49" spans="4:4" x14ac:dyDescent="0.3">
      <c r="D49" t="str">
        <v>Essential</v>
      </c>
    </row>
    <row r="50" spans="4:4" x14ac:dyDescent="0.3">
      <c r="D50" t="str">
        <v>Essential</v>
      </c>
    </row>
    <row r="51" spans="4:4" x14ac:dyDescent="0.3">
      <c r="D51" t="str">
        <v>Essential</v>
      </c>
    </row>
    <row r="52" spans="4:4" x14ac:dyDescent="0.3">
      <c r="D52" t="str">
        <v>Essential</v>
      </c>
    </row>
    <row r="53" spans="4:4" x14ac:dyDescent="0.3">
      <c r="D53" t="str">
        <v>Essential</v>
      </c>
    </row>
    <row r="54" spans="4:4" x14ac:dyDescent="0.3">
      <c r="D54" t="str">
        <v>Essential</v>
      </c>
    </row>
    <row r="55" spans="4:4" x14ac:dyDescent="0.3">
      <c r="D55" t="str">
        <v>Essential</v>
      </c>
    </row>
    <row r="56" spans="4:4" x14ac:dyDescent="0.3">
      <c r="D56" t="str">
        <v>Essential</v>
      </c>
    </row>
    <row r="57" spans="4:4" x14ac:dyDescent="0.3">
      <c r="D57" t="str">
        <v>Discretionary</v>
      </c>
    </row>
    <row r="58" spans="4:4" x14ac:dyDescent="0.3">
      <c r="D58" t="str">
        <v>Essential</v>
      </c>
    </row>
    <row r="59" spans="4:4" x14ac:dyDescent="0.3">
      <c r="D59" t="str">
        <v>Essential</v>
      </c>
    </row>
    <row r="60" spans="4:4" x14ac:dyDescent="0.3">
      <c r="D60" t="str">
        <v>Essential</v>
      </c>
    </row>
    <row r="61" spans="4:4" x14ac:dyDescent="0.3">
      <c r="D61" t="str">
        <v>Essential</v>
      </c>
    </row>
    <row r="62" spans="4:4" x14ac:dyDescent="0.3">
      <c r="D62" t="str">
        <v>Discretionary</v>
      </c>
    </row>
    <row r="63" spans="4:4" x14ac:dyDescent="0.3">
      <c r="D63" t="str">
        <v>Essential</v>
      </c>
    </row>
    <row r="64" spans="4:4" x14ac:dyDescent="0.3">
      <c r="D64" t="str">
        <v>Variable</v>
      </c>
    </row>
    <row r="65" spans="4:4" x14ac:dyDescent="0.3">
      <c r="D65" t="str">
        <v>Essential</v>
      </c>
    </row>
    <row r="66" spans="4:4" x14ac:dyDescent="0.3">
      <c r="D66" t="str">
        <v>Discretionary</v>
      </c>
    </row>
    <row r="67" spans="4:4" x14ac:dyDescent="0.3">
      <c r="D67" t="str">
        <v>Discretionary</v>
      </c>
    </row>
    <row r="68" spans="4:4" x14ac:dyDescent="0.3">
      <c r="D68" t="str">
        <v>Essential</v>
      </c>
    </row>
    <row r="69" spans="4:4" x14ac:dyDescent="0.3">
      <c r="D69" t="str">
        <v>Essential</v>
      </c>
    </row>
    <row r="70" spans="4:4" x14ac:dyDescent="0.3">
      <c r="D70" t="str">
        <v>Variable</v>
      </c>
    </row>
    <row r="71" spans="4:4" x14ac:dyDescent="0.3">
      <c r="D71" t="str">
        <v>Variable</v>
      </c>
    </row>
    <row r="72" spans="4:4" x14ac:dyDescent="0.3">
      <c r="D72" t="str">
        <v>Variable</v>
      </c>
    </row>
    <row r="73" spans="4:4" x14ac:dyDescent="0.3">
      <c r="D73" t="str">
        <v>Essential</v>
      </c>
    </row>
    <row r="74" spans="4:4" x14ac:dyDescent="0.3">
      <c r="D74" t="str">
        <v>Discretionary</v>
      </c>
    </row>
    <row r="75" spans="4:4" x14ac:dyDescent="0.3">
      <c r="D75" t="str">
        <v>Variable</v>
      </c>
    </row>
    <row r="76" spans="4:4" x14ac:dyDescent="0.3">
      <c r="D76" t="str">
        <v>Essential</v>
      </c>
    </row>
    <row r="77" spans="4:4" x14ac:dyDescent="0.3">
      <c r="D77" t="str">
        <v>Essential</v>
      </c>
    </row>
    <row r="78" spans="4:4" x14ac:dyDescent="0.3">
      <c r="D78" t="str">
        <v>Essential</v>
      </c>
    </row>
    <row r="79" spans="4:4" x14ac:dyDescent="0.3">
      <c r="D79" t="str">
        <v>Discretionary</v>
      </c>
    </row>
    <row r="80" spans="4:4" x14ac:dyDescent="0.3">
      <c r="D80" t="str">
        <v>Essential</v>
      </c>
    </row>
    <row r="81" spans="4:4" x14ac:dyDescent="0.3">
      <c r="D81" t="str">
        <v>Essential</v>
      </c>
    </row>
    <row r="82" spans="4:4" x14ac:dyDescent="0.3">
      <c r="D82" t="str">
        <v>Variable</v>
      </c>
    </row>
    <row r="83" spans="4:4" x14ac:dyDescent="0.3">
      <c r="D83" t="str">
        <v>Essential</v>
      </c>
    </row>
    <row r="84" spans="4:4" x14ac:dyDescent="0.3">
      <c r="D84" t="str">
        <v>Essential</v>
      </c>
    </row>
    <row r="85" spans="4:4" x14ac:dyDescent="0.3">
      <c r="D85" t="str">
        <v>Essential</v>
      </c>
    </row>
    <row r="86" spans="4:4" x14ac:dyDescent="0.3">
      <c r="D86" t="str">
        <v>Essential</v>
      </c>
    </row>
    <row r="87" spans="4:4" x14ac:dyDescent="0.3">
      <c r="D87" t="str">
        <v>Essential</v>
      </c>
    </row>
    <row r="88" spans="4:4" x14ac:dyDescent="0.3">
      <c r="D88" t="str">
        <v>Essential</v>
      </c>
    </row>
    <row r="89" spans="4:4" x14ac:dyDescent="0.3">
      <c r="D89" t="str">
        <v>Variable</v>
      </c>
    </row>
    <row r="90" spans="4:4" x14ac:dyDescent="0.3">
      <c r="D90" t="str">
        <v>Discretionary</v>
      </c>
    </row>
    <row r="91" spans="4:4" x14ac:dyDescent="0.3">
      <c r="D91" t="str">
        <v>Discretionary</v>
      </c>
    </row>
    <row r="92" spans="4:4" x14ac:dyDescent="0.3">
      <c r="D92" t="str">
        <v>Essential</v>
      </c>
    </row>
    <row r="93" spans="4:4" x14ac:dyDescent="0.3">
      <c r="D93" t="str">
        <v>Essential</v>
      </c>
    </row>
    <row r="94" spans="4:4" x14ac:dyDescent="0.3">
      <c r="D94" t="str">
        <v>Discretionary</v>
      </c>
    </row>
    <row r="95" spans="4:4" x14ac:dyDescent="0.3">
      <c r="D95" t="str">
        <v>Essential</v>
      </c>
    </row>
    <row r="96" spans="4:4" x14ac:dyDescent="0.3">
      <c r="D96" t="str">
        <v>Essential</v>
      </c>
    </row>
    <row r="97" spans="4:4" x14ac:dyDescent="0.3">
      <c r="D97" t="str">
        <v>Essential</v>
      </c>
    </row>
    <row r="98" spans="4:4" x14ac:dyDescent="0.3">
      <c r="D98" t="str">
        <v>Essential</v>
      </c>
    </row>
    <row r="99" spans="4:4" x14ac:dyDescent="0.3">
      <c r="D99" t="str">
        <v>Variable</v>
      </c>
    </row>
    <row r="100" spans="4:4" x14ac:dyDescent="0.3">
      <c r="D100" t="str">
        <v>Essential</v>
      </c>
    </row>
    <row r="101" spans="4:4" x14ac:dyDescent="0.3">
      <c r="D101" t="str">
        <v>Variable</v>
      </c>
    </row>
    <row r="102" spans="4:4" x14ac:dyDescent="0.3">
      <c r="D102" t="str">
        <v>Essential</v>
      </c>
    </row>
    <row r="103" spans="4:4" x14ac:dyDescent="0.3">
      <c r="D103" t="str">
        <v>Discretionary</v>
      </c>
    </row>
    <row r="104" spans="4:4" x14ac:dyDescent="0.3">
      <c r="D104" t="str">
        <v>Essential</v>
      </c>
    </row>
    <row r="105" spans="4:4" x14ac:dyDescent="0.3">
      <c r="D105" t="str">
        <v>Essential</v>
      </c>
    </row>
    <row r="106" spans="4:4" x14ac:dyDescent="0.3">
      <c r="D106" t="str">
        <v>Essential</v>
      </c>
    </row>
    <row r="107" spans="4:4" x14ac:dyDescent="0.3">
      <c r="D107" t="str">
        <v>Variable</v>
      </c>
    </row>
    <row r="108" spans="4:4" x14ac:dyDescent="0.3">
      <c r="D108" t="str">
        <v>Variable</v>
      </c>
    </row>
    <row r="109" spans="4:4" x14ac:dyDescent="0.3">
      <c r="D109" t="str">
        <v>Discretionary</v>
      </c>
    </row>
    <row r="110" spans="4:4" x14ac:dyDescent="0.3">
      <c r="D110" t="str">
        <v>Essential</v>
      </c>
    </row>
    <row r="111" spans="4:4" x14ac:dyDescent="0.3">
      <c r="D111" t="str">
        <v>Discretionary</v>
      </c>
    </row>
    <row r="112" spans="4:4" x14ac:dyDescent="0.3">
      <c r="D112" t="str">
        <v>Essential</v>
      </c>
    </row>
    <row r="113" spans="4:4" x14ac:dyDescent="0.3">
      <c r="D113" t="str">
        <v>Discretionary</v>
      </c>
    </row>
    <row r="114" spans="4:4" x14ac:dyDescent="0.3">
      <c r="D114" t="str">
        <v>Discretionary</v>
      </c>
    </row>
    <row r="115" spans="4:4" x14ac:dyDescent="0.3">
      <c r="D115" t="str">
        <v>Essential</v>
      </c>
    </row>
    <row r="116" spans="4:4" x14ac:dyDescent="0.3">
      <c r="D116" t="str">
        <v>Essential</v>
      </c>
    </row>
    <row r="117" spans="4:4" x14ac:dyDescent="0.3">
      <c r="D117" t="str">
        <v>Variable</v>
      </c>
    </row>
    <row r="118" spans="4:4" x14ac:dyDescent="0.3">
      <c r="D118" t="str">
        <v>Discretionary</v>
      </c>
    </row>
    <row r="119" spans="4:4" x14ac:dyDescent="0.3">
      <c r="D119" t="str">
        <v>Variable</v>
      </c>
    </row>
    <row r="120" spans="4:4" x14ac:dyDescent="0.3">
      <c r="D120" t="str">
        <v>Essential</v>
      </c>
    </row>
    <row r="121" spans="4:4" x14ac:dyDescent="0.3">
      <c r="D121" t="str">
        <v>Discretionary</v>
      </c>
    </row>
    <row r="122" spans="4:4" x14ac:dyDescent="0.3">
      <c r="D122" t="str">
        <v>Discretionary</v>
      </c>
    </row>
    <row r="123" spans="4:4" x14ac:dyDescent="0.3">
      <c r="D123" t="str">
        <v>Essential</v>
      </c>
    </row>
    <row r="124" spans="4:4" x14ac:dyDescent="0.3">
      <c r="D124" t="str">
        <v>Essential</v>
      </c>
    </row>
    <row r="125" spans="4:4" x14ac:dyDescent="0.3">
      <c r="D125" t="str">
        <v>Essential</v>
      </c>
    </row>
    <row r="126" spans="4:4" x14ac:dyDescent="0.3">
      <c r="D126" t="str">
        <v>Discretionary</v>
      </c>
    </row>
    <row r="127" spans="4:4" x14ac:dyDescent="0.3">
      <c r="D127" t="str">
        <v>Variable</v>
      </c>
    </row>
    <row r="128" spans="4:4" x14ac:dyDescent="0.3">
      <c r="D128" t="str">
        <v>Essential</v>
      </c>
    </row>
    <row r="129" spans="4:4" x14ac:dyDescent="0.3">
      <c r="D129" t="str">
        <v>Discretionary</v>
      </c>
    </row>
    <row r="130" spans="4:4" x14ac:dyDescent="0.3">
      <c r="D130" t="str">
        <v>Discretionary</v>
      </c>
    </row>
    <row r="131" spans="4:4" x14ac:dyDescent="0.3">
      <c r="D131" t="str">
        <v>Essential</v>
      </c>
    </row>
    <row r="132" spans="4:4" x14ac:dyDescent="0.3">
      <c r="D132" t="str">
        <v>Essential</v>
      </c>
    </row>
    <row r="133" spans="4:4" x14ac:dyDescent="0.3">
      <c r="D133" t="str">
        <v>Essential</v>
      </c>
    </row>
    <row r="134" spans="4:4" x14ac:dyDescent="0.3">
      <c r="D134" t="str">
        <v>Essential</v>
      </c>
    </row>
    <row r="135" spans="4:4" x14ac:dyDescent="0.3">
      <c r="D135" t="str">
        <v>Variable</v>
      </c>
    </row>
    <row r="136" spans="4:4" x14ac:dyDescent="0.3">
      <c r="D136" t="str">
        <v>Essential</v>
      </c>
    </row>
    <row r="137" spans="4:4" x14ac:dyDescent="0.3">
      <c r="D137" t="str">
        <v>Essential</v>
      </c>
    </row>
    <row r="138" spans="4:4" x14ac:dyDescent="0.3">
      <c r="D138" t="str">
        <v>Essential</v>
      </c>
    </row>
    <row r="139" spans="4:4" x14ac:dyDescent="0.3">
      <c r="D139" t="str">
        <v>Essential</v>
      </c>
    </row>
    <row r="140" spans="4:4" x14ac:dyDescent="0.3">
      <c r="D140" t="str">
        <v>Essential</v>
      </c>
    </row>
    <row r="141" spans="4:4" x14ac:dyDescent="0.3">
      <c r="D141" t="str">
        <v>Variable</v>
      </c>
    </row>
    <row r="142" spans="4:4" x14ac:dyDescent="0.3">
      <c r="D142" t="str">
        <v>Variable</v>
      </c>
    </row>
    <row r="143" spans="4:4" x14ac:dyDescent="0.3">
      <c r="D143" t="str">
        <v>Discretionary</v>
      </c>
    </row>
    <row r="144" spans="4:4" x14ac:dyDescent="0.3">
      <c r="D144" t="str">
        <v>Essential</v>
      </c>
    </row>
    <row r="145" spans="4:4" x14ac:dyDescent="0.3">
      <c r="D145" t="str">
        <v>Discretionary</v>
      </c>
    </row>
    <row r="146" spans="4:4" x14ac:dyDescent="0.3">
      <c r="D146" t="str">
        <v>Variable</v>
      </c>
    </row>
    <row r="147" spans="4:4" x14ac:dyDescent="0.3">
      <c r="D147" t="str">
        <v>Variable</v>
      </c>
    </row>
    <row r="148" spans="4:4" x14ac:dyDescent="0.3">
      <c r="D148" t="str">
        <v>Discretionary</v>
      </c>
    </row>
    <row r="149" spans="4:4" x14ac:dyDescent="0.3">
      <c r="D149" t="str">
        <v>Essential</v>
      </c>
    </row>
    <row r="150" spans="4:4" x14ac:dyDescent="0.3">
      <c r="D150" t="str">
        <v>Discretionary</v>
      </c>
    </row>
    <row r="151" spans="4:4" x14ac:dyDescent="0.3">
      <c r="D151" t="str">
        <v>Essential</v>
      </c>
    </row>
    <row r="152" spans="4:4" x14ac:dyDescent="0.3">
      <c r="D152" t="str">
        <v>Essential</v>
      </c>
    </row>
    <row r="153" spans="4:4" x14ac:dyDescent="0.3">
      <c r="D153" t="str">
        <v>Essential</v>
      </c>
    </row>
    <row r="154" spans="4:4" x14ac:dyDescent="0.3">
      <c r="D154" t="str">
        <v>Essential</v>
      </c>
    </row>
    <row r="155" spans="4:4" x14ac:dyDescent="0.3">
      <c r="D155" t="str">
        <v>Variable</v>
      </c>
    </row>
    <row r="156" spans="4:4" x14ac:dyDescent="0.3">
      <c r="D156" t="str">
        <v>Essential</v>
      </c>
    </row>
    <row r="157" spans="4:4" x14ac:dyDescent="0.3">
      <c r="D157" t="str">
        <v>Essential</v>
      </c>
    </row>
    <row r="158" spans="4:4" x14ac:dyDescent="0.3">
      <c r="D158" t="str">
        <v>Essential</v>
      </c>
    </row>
    <row r="159" spans="4:4" x14ac:dyDescent="0.3">
      <c r="D159" t="str">
        <v>Essential</v>
      </c>
    </row>
    <row r="160" spans="4:4" x14ac:dyDescent="0.3">
      <c r="D160" t="str">
        <v>Essential</v>
      </c>
    </row>
    <row r="161" spans="4:4" x14ac:dyDescent="0.3">
      <c r="D161" t="str">
        <v>Discretionary</v>
      </c>
    </row>
    <row r="162" spans="4:4" x14ac:dyDescent="0.3">
      <c r="D162" t="str">
        <v>Essential</v>
      </c>
    </row>
    <row r="163" spans="4:4" x14ac:dyDescent="0.3">
      <c r="D163" t="str">
        <v>Essential</v>
      </c>
    </row>
    <row r="164" spans="4:4" x14ac:dyDescent="0.3">
      <c r="D164" t="str">
        <v>Essential</v>
      </c>
    </row>
    <row r="165" spans="4:4" x14ac:dyDescent="0.3">
      <c r="D165" t="str">
        <v>Essential</v>
      </c>
    </row>
    <row r="166" spans="4:4" x14ac:dyDescent="0.3">
      <c r="D166" t="str">
        <v>Discretionary</v>
      </c>
    </row>
    <row r="167" spans="4:4" x14ac:dyDescent="0.3">
      <c r="D167" t="str">
        <v>Variable</v>
      </c>
    </row>
    <row r="168" spans="4:4" x14ac:dyDescent="0.3">
      <c r="D168" t="str">
        <v>Discretionary</v>
      </c>
    </row>
    <row r="169" spans="4:4" x14ac:dyDescent="0.3">
      <c r="D169" t="str">
        <v>Discretionary</v>
      </c>
    </row>
    <row r="170" spans="4:4" x14ac:dyDescent="0.3">
      <c r="D170" t="str">
        <v>Discretionary</v>
      </c>
    </row>
    <row r="171" spans="4:4" x14ac:dyDescent="0.3">
      <c r="D171" t="str">
        <v>Essential</v>
      </c>
    </row>
    <row r="172" spans="4:4" x14ac:dyDescent="0.3">
      <c r="D172" t="str">
        <v>Essential</v>
      </c>
    </row>
    <row r="173" spans="4:4" x14ac:dyDescent="0.3">
      <c r="D173" t="str">
        <v>Variable</v>
      </c>
    </row>
    <row r="174" spans="4:4" x14ac:dyDescent="0.3">
      <c r="D174" t="str">
        <v>Discretionary</v>
      </c>
    </row>
    <row r="175" spans="4:4" x14ac:dyDescent="0.3">
      <c r="D175" t="str">
        <v>Essential</v>
      </c>
    </row>
    <row r="176" spans="4:4" x14ac:dyDescent="0.3">
      <c r="D176" t="str">
        <v>Essential</v>
      </c>
    </row>
    <row r="177" spans="4:4" x14ac:dyDescent="0.3">
      <c r="D177" t="str">
        <v>Essential</v>
      </c>
    </row>
    <row r="178" spans="4:4" x14ac:dyDescent="0.3">
      <c r="D178" t="str">
        <v>Discretionary</v>
      </c>
    </row>
    <row r="179" spans="4:4" x14ac:dyDescent="0.3">
      <c r="D179" t="str">
        <v>Discretionary</v>
      </c>
    </row>
    <row r="180" spans="4:4" x14ac:dyDescent="0.3">
      <c r="D180" t="str">
        <v>Essential</v>
      </c>
    </row>
    <row r="181" spans="4:4" x14ac:dyDescent="0.3">
      <c r="D181" t="str">
        <v>Essential</v>
      </c>
    </row>
    <row r="182" spans="4:4" x14ac:dyDescent="0.3">
      <c r="D182" t="str">
        <v>Variable</v>
      </c>
    </row>
    <row r="183" spans="4:4" x14ac:dyDescent="0.3">
      <c r="D183" t="str">
        <v>Essential</v>
      </c>
    </row>
    <row r="184" spans="4:4" x14ac:dyDescent="0.3">
      <c r="D184" t="str">
        <v>Essential</v>
      </c>
    </row>
    <row r="185" spans="4:4" x14ac:dyDescent="0.3">
      <c r="D185" t="str">
        <v>Discretionary</v>
      </c>
    </row>
    <row r="186" spans="4:4" x14ac:dyDescent="0.3">
      <c r="D186" t="str">
        <v>Discretionary</v>
      </c>
    </row>
    <row r="187" spans="4:4" x14ac:dyDescent="0.3">
      <c r="D187" t="str">
        <v>Essential</v>
      </c>
    </row>
    <row r="188" spans="4:4" x14ac:dyDescent="0.3">
      <c r="D188" t="str">
        <v>Essential</v>
      </c>
    </row>
    <row r="189" spans="4:4" x14ac:dyDescent="0.3">
      <c r="D189" t="str">
        <v>Essential</v>
      </c>
    </row>
    <row r="190" spans="4:4" x14ac:dyDescent="0.3">
      <c r="D190" t="str">
        <v>Variable</v>
      </c>
    </row>
    <row r="191" spans="4:4" x14ac:dyDescent="0.3">
      <c r="D191" t="str">
        <v>Essential</v>
      </c>
    </row>
    <row r="192" spans="4:4" x14ac:dyDescent="0.3">
      <c r="D192" t="str">
        <v>Discretionary</v>
      </c>
    </row>
    <row r="193" spans="4:4" x14ac:dyDescent="0.3">
      <c r="D193" t="str">
        <v>Essential</v>
      </c>
    </row>
    <row r="194" spans="4:4" x14ac:dyDescent="0.3">
      <c r="D194" t="str">
        <v>Essential</v>
      </c>
    </row>
    <row r="195" spans="4:4" x14ac:dyDescent="0.3">
      <c r="D195" t="str">
        <v>Essential</v>
      </c>
    </row>
    <row r="196" spans="4:4" x14ac:dyDescent="0.3">
      <c r="D196" t="str">
        <v>Essential</v>
      </c>
    </row>
    <row r="197" spans="4:4" x14ac:dyDescent="0.3">
      <c r="D197" t="str">
        <v>Essential</v>
      </c>
    </row>
    <row r="198" spans="4:4" x14ac:dyDescent="0.3">
      <c r="D198" t="str">
        <v>Essential</v>
      </c>
    </row>
    <row r="199" spans="4:4" x14ac:dyDescent="0.3">
      <c r="D199" t="str">
        <v>Essential</v>
      </c>
    </row>
    <row r="200" spans="4:4" x14ac:dyDescent="0.3">
      <c r="D200" t="str">
        <v>Essential</v>
      </c>
    </row>
    <row r="201" spans="4:4" x14ac:dyDescent="0.3">
      <c r="D201" t="str">
        <v>Variable</v>
      </c>
    </row>
    <row r="202" spans="4:4" x14ac:dyDescent="0.3">
      <c r="D202" t="str">
        <v>Essential</v>
      </c>
    </row>
    <row r="203" spans="4:4" x14ac:dyDescent="0.3">
      <c r="D203" t="str">
        <v>Discretionary</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64A08-229E-4181-B927-AD90917968E8}">
  <dimension ref="A3:H13"/>
  <sheetViews>
    <sheetView workbookViewId="0">
      <selection activeCell="B4" sqref="B4"/>
    </sheetView>
  </sheetViews>
  <sheetFormatPr defaultRowHeight="14.4" x14ac:dyDescent="0.3"/>
  <cols>
    <col min="1" max="1" width="14.88671875" bestFit="1" customWidth="1"/>
    <col min="2" max="2" width="15.5546875" bestFit="1" customWidth="1"/>
    <col min="3" max="3" width="9" bestFit="1" customWidth="1"/>
    <col min="4" max="4" width="6.44140625" bestFit="1" customWidth="1"/>
    <col min="5" max="6" width="9" bestFit="1" customWidth="1"/>
    <col min="7" max="8" width="13.6640625" customWidth="1"/>
  </cols>
  <sheetData>
    <row r="3" spans="1:8" x14ac:dyDescent="0.3">
      <c r="B3" s="15" t="s">
        <v>230</v>
      </c>
    </row>
    <row r="4" spans="1:8" x14ac:dyDescent="0.3">
      <c r="B4" t="s">
        <v>13</v>
      </c>
      <c r="C4" t="s">
        <v>73</v>
      </c>
      <c r="D4" t="s">
        <v>117</v>
      </c>
      <c r="E4" t="s">
        <v>138</v>
      </c>
      <c r="F4" t="s">
        <v>155</v>
      </c>
      <c r="G4" t="s">
        <v>174</v>
      </c>
      <c r="H4" t="s">
        <v>231</v>
      </c>
    </row>
    <row r="5" spans="1:8" x14ac:dyDescent="0.3">
      <c r="A5" t="s">
        <v>229</v>
      </c>
      <c r="B5">
        <v>32727.320000000003</v>
      </c>
      <c r="C5">
        <v>43336.08</v>
      </c>
      <c r="D5">
        <v>68483</v>
      </c>
      <c r="E5">
        <v>46461.67</v>
      </c>
      <c r="F5">
        <v>52283.01</v>
      </c>
      <c r="G5">
        <v>52157.960000000006</v>
      </c>
      <c r="H5">
        <v>295449.04000000004</v>
      </c>
    </row>
    <row r="10" spans="1:8" x14ac:dyDescent="0.3">
      <c r="A10" t="s">
        <v>193</v>
      </c>
      <c r="B10" t="s">
        <v>253</v>
      </c>
    </row>
    <row r="13" spans="1:8" x14ac:dyDescent="0.3">
      <c r="A13" t="s">
        <v>254</v>
      </c>
      <c r="B13" t="str">
        <f>INDEX(B4:G4,MATCH(MAX(B5:G5),B5:G5,0))</f>
        <v>March</v>
      </c>
    </row>
  </sheetData>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B3874-C2A6-4F34-A0A3-9CB10407DDC8}">
  <dimension ref="A3:D12"/>
  <sheetViews>
    <sheetView workbookViewId="0">
      <selection activeCell="D5" sqref="D5"/>
    </sheetView>
  </sheetViews>
  <sheetFormatPr defaultRowHeight="14.4" x14ac:dyDescent="0.3"/>
  <cols>
    <col min="1" max="1" width="13.21875" bestFit="1" customWidth="1"/>
    <col min="2" max="2" width="14.88671875" bestFit="1" customWidth="1"/>
    <col min="4" max="4" width="16.109375" customWidth="1"/>
  </cols>
  <sheetData>
    <row r="3" spans="1:4" x14ac:dyDescent="0.3">
      <c r="A3" s="15" t="s">
        <v>234</v>
      </c>
      <c r="B3" t="s">
        <v>229</v>
      </c>
    </row>
    <row r="4" spans="1:4" x14ac:dyDescent="0.3">
      <c r="A4" s="17" t="s">
        <v>57</v>
      </c>
      <c r="B4">
        <v>95972.45</v>
      </c>
    </row>
    <row r="5" spans="1:4" x14ac:dyDescent="0.3">
      <c r="A5" s="17" t="s">
        <v>31</v>
      </c>
      <c r="B5">
        <v>32891.280000000006</v>
      </c>
      <c r="D5" s="2" t="s">
        <v>235</v>
      </c>
    </row>
    <row r="6" spans="1:4" x14ac:dyDescent="0.3">
      <c r="A6" s="17" t="s">
        <v>41</v>
      </c>
      <c r="B6">
        <v>15289.760000000002</v>
      </c>
      <c r="D6" t="str">
        <f>INDEX(A4:A11,MATCH(MAX(B4:B11),B4:B11,0))</f>
        <v>Bills</v>
      </c>
    </row>
    <row r="7" spans="1:4" x14ac:dyDescent="0.3">
      <c r="A7" s="17" t="s">
        <v>22</v>
      </c>
      <c r="B7">
        <v>6060.6</v>
      </c>
    </row>
    <row r="8" spans="1:4" x14ac:dyDescent="0.3">
      <c r="A8" s="17" t="s">
        <v>25</v>
      </c>
      <c r="B8">
        <v>25444.020000000004</v>
      </c>
    </row>
    <row r="9" spans="1:4" x14ac:dyDescent="0.3">
      <c r="A9" s="17" t="s">
        <v>14</v>
      </c>
      <c r="B9">
        <v>73543.25</v>
      </c>
    </row>
    <row r="10" spans="1:4" x14ac:dyDescent="0.3">
      <c r="A10" s="17" t="s">
        <v>8</v>
      </c>
      <c r="B10">
        <v>39483.869999999995</v>
      </c>
    </row>
    <row r="11" spans="1:4" x14ac:dyDescent="0.3">
      <c r="A11" s="17" t="s">
        <v>18</v>
      </c>
      <c r="B11">
        <v>6763.8100000000013</v>
      </c>
    </row>
    <row r="12" spans="1:4" x14ac:dyDescent="0.3">
      <c r="A12" s="17" t="s">
        <v>231</v>
      </c>
      <c r="B12">
        <v>295449.04000000004</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73161-CF83-43B1-95B5-5C095A7B13C6}">
  <dimension ref="A3:H11"/>
  <sheetViews>
    <sheetView workbookViewId="0">
      <selection activeCell="B4" sqref="B4"/>
    </sheetView>
  </sheetViews>
  <sheetFormatPr defaultRowHeight="14.4" x14ac:dyDescent="0.3"/>
  <cols>
    <col min="1" max="1" width="16.21875" bestFit="1" customWidth="1"/>
    <col min="2" max="2" width="15.5546875" bestFit="1" customWidth="1"/>
    <col min="3" max="3" width="8.44140625" bestFit="1" customWidth="1"/>
    <col min="4" max="4" width="6.44140625" bestFit="1" customWidth="1"/>
    <col min="5" max="5" width="4.88671875" bestFit="1" customWidth="1"/>
    <col min="6" max="6" width="4.77734375" bestFit="1" customWidth="1"/>
    <col min="7" max="7" width="4.88671875" bestFit="1" customWidth="1"/>
    <col min="8" max="8" width="10.77734375" bestFit="1" customWidth="1"/>
    <col min="9" max="12" width="6" bestFit="1" customWidth="1"/>
    <col min="13" max="20" width="7" bestFit="1" customWidth="1"/>
    <col min="21" max="21" width="6" bestFit="1" customWidth="1"/>
    <col min="22" max="52" width="7" bestFit="1" customWidth="1"/>
    <col min="53" max="53" width="6" bestFit="1" customWidth="1"/>
    <col min="54" max="59" width="7" bestFit="1" customWidth="1"/>
    <col min="60" max="60" width="6" bestFit="1" customWidth="1"/>
    <col min="61" max="71" width="7" bestFit="1" customWidth="1"/>
    <col min="72" max="72" width="4" bestFit="1" customWidth="1"/>
    <col min="73" max="78" width="7" bestFit="1" customWidth="1"/>
    <col min="79" max="79" width="6" bestFit="1" customWidth="1"/>
    <col min="80" max="90" width="7" bestFit="1" customWidth="1"/>
    <col min="91" max="91" width="6" bestFit="1" customWidth="1"/>
    <col min="92" max="94" width="7" bestFit="1" customWidth="1"/>
    <col min="95" max="98" width="8" bestFit="1" customWidth="1"/>
    <col min="99" max="99" width="7" bestFit="1" customWidth="1"/>
    <col min="100" max="101" width="8" bestFit="1" customWidth="1"/>
    <col min="102" max="102" width="7" bestFit="1" customWidth="1"/>
    <col min="103" max="125" width="8" bestFit="1" customWidth="1"/>
    <col min="126" max="126" width="7" bestFit="1" customWidth="1"/>
    <col min="127" max="137" width="8" bestFit="1" customWidth="1"/>
    <col min="138" max="138" width="7" bestFit="1" customWidth="1"/>
    <col min="139" max="142" width="8" bestFit="1" customWidth="1"/>
    <col min="143" max="143" width="5" bestFit="1" customWidth="1"/>
    <col min="144" max="149" width="8" bestFit="1" customWidth="1"/>
    <col min="150" max="150" width="7" bestFit="1" customWidth="1"/>
    <col min="151" max="152" width="8" bestFit="1" customWidth="1"/>
    <col min="153" max="153" width="7" bestFit="1" customWidth="1"/>
    <col min="154" max="161" width="8" bestFit="1" customWidth="1"/>
    <col min="162" max="162" width="7" bestFit="1" customWidth="1"/>
    <col min="163" max="187" width="8" bestFit="1" customWidth="1"/>
    <col min="188" max="188" width="7" bestFit="1" customWidth="1"/>
    <col min="189" max="198" width="8" bestFit="1" customWidth="1"/>
    <col min="199" max="199" width="7" bestFit="1" customWidth="1"/>
    <col min="200" max="200" width="10.77734375" bestFit="1" customWidth="1"/>
  </cols>
  <sheetData>
    <row r="3" spans="1:8" x14ac:dyDescent="0.3">
      <c r="A3" s="15" t="s">
        <v>236</v>
      </c>
      <c r="B3" s="15" t="s">
        <v>230</v>
      </c>
    </row>
    <row r="4" spans="1:8" x14ac:dyDescent="0.3">
      <c r="A4" s="15" t="s">
        <v>234</v>
      </c>
      <c r="B4" t="s">
        <v>13</v>
      </c>
      <c r="C4" t="s">
        <v>73</v>
      </c>
      <c r="D4" t="s">
        <v>117</v>
      </c>
      <c r="E4" t="s">
        <v>138</v>
      </c>
      <c r="F4" t="s">
        <v>155</v>
      </c>
      <c r="G4" t="s">
        <v>174</v>
      </c>
      <c r="H4" t="s">
        <v>231</v>
      </c>
    </row>
    <row r="5" spans="1:8" x14ac:dyDescent="0.3">
      <c r="A5" s="17" t="s">
        <v>94</v>
      </c>
      <c r="C5">
        <v>1</v>
      </c>
      <c r="D5">
        <v>3</v>
      </c>
      <c r="G5">
        <v>1</v>
      </c>
      <c r="H5">
        <v>5</v>
      </c>
    </row>
    <row r="6" spans="1:8" x14ac:dyDescent="0.3">
      <c r="A6" s="17" t="s">
        <v>21</v>
      </c>
      <c r="B6">
        <v>8</v>
      </c>
      <c r="C6">
        <v>5</v>
      </c>
      <c r="D6">
        <v>5</v>
      </c>
      <c r="E6">
        <v>8</v>
      </c>
      <c r="F6">
        <v>6</v>
      </c>
      <c r="G6">
        <v>12</v>
      </c>
      <c r="H6">
        <v>44</v>
      </c>
    </row>
    <row r="7" spans="1:8" x14ac:dyDescent="0.3">
      <c r="A7" s="17" t="s">
        <v>34</v>
      </c>
      <c r="B7">
        <v>7</v>
      </c>
      <c r="C7">
        <v>8</v>
      </c>
      <c r="D7">
        <v>7</v>
      </c>
      <c r="E7">
        <v>6</v>
      </c>
      <c r="F7">
        <v>5</v>
      </c>
      <c r="G7">
        <v>6</v>
      </c>
      <c r="H7">
        <v>39</v>
      </c>
    </row>
    <row r="8" spans="1:8" x14ac:dyDescent="0.3">
      <c r="A8" s="17" t="s">
        <v>30</v>
      </c>
      <c r="B8">
        <v>7</v>
      </c>
      <c r="C8">
        <v>5</v>
      </c>
      <c r="D8">
        <v>7</v>
      </c>
      <c r="E8">
        <v>11</v>
      </c>
      <c r="F8">
        <v>12</v>
      </c>
      <c r="G8">
        <v>5</v>
      </c>
      <c r="H8">
        <v>47</v>
      </c>
    </row>
    <row r="9" spans="1:8" x14ac:dyDescent="0.3">
      <c r="A9" s="17" t="s">
        <v>86</v>
      </c>
      <c r="C9">
        <v>5</v>
      </c>
      <c r="D9">
        <v>4</v>
      </c>
      <c r="E9">
        <v>2</v>
      </c>
      <c r="F9">
        <v>5</v>
      </c>
      <c r="G9">
        <v>4</v>
      </c>
      <c r="H9">
        <v>20</v>
      </c>
    </row>
    <row r="10" spans="1:8" x14ac:dyDescent="0.3">
      <c r="A10" s="17" t="s">
        <v>11</v>
      </c>
      <c r="B10">
        <v>11</v>
      </c>
      <c r="C10">
        <v>9</v>
      </c>
      <c r="D10">
        <v>7</v>
      </c>
      <c r="E10">
        <v>7</v>
      </c>
      <c r="F10">
        <v>6</v>
      </c>
      <c r="G10">
        <v>5</v>
      </c>
      <c r="H10">
        <v>45</v>
      </c>
    </row>
    <row r="11" spans="1:8" x14ac:dyDescent="0.3">
      <c r="A11" s="17" t="s">
        <v>231</v>
      </c>
      <c r="B11">
        <v>33</v>
      </c>
      <c r="C11">
        <v>33</v>
      </c>
      <c r="D11">
        <v>33</v>
      </c>
      <c r="E11">
        <v>34</v>
      </c>
      <c r="F11">
        <v>34</v>
      </c>
      <c r="G11">
        <v>33</v>
      </c>
      <c r="H11">
        <v>200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675E0-E39B-40B0-A8D4-DDBE708D2B31}">
  <dimension ref="A1:F21"/>
  <sheetViews>
    <sheetView zoomScale="107" workbookViewId="0">
      <selection activeCell="F13" sqref="F13"/>
    </sheetView>
  </sheetViews>
  <sheetFormatPr defaultRowHeight="14.4" x14ac:dyDescent="0.3"/>
  <cols>
    <col min="1" max="1" width="17.6640625" customWidth="1"/>
    <col min="2" max="2" width="23.5546875" bestFit="1" customWidth="1"/>
    <col min="3" max="3" width="11.88671875" bestFit="1" customWidth="1"/>
    <col min="4" max="4" width="12" bestFit="1" customWidth="1"/>
    <col min="5" max="5" width="23.21875" customWidth="1"/>
    <col min="6" max="6" width="17" customWidth="1"/>
  </cols>
  <sheetData>
    <row r="1" spans="1:6" ht="15.6" x14ac:dyDescent="0.3">
      <c r="A1" s="26" t="s">
        <v>219</v>
      </c>
      <c r="B1" s="27"/>
      <c r="C1" s="27"/>
    </row>
    <row r="2" spans="1:6" x14ac:dyDescent="0.3">
      <c r="A2" s="8" t="s">
        <v>1</v>
      </c>
      <c r="B2" s="8" t="s">
        <v>220</v>
      </c>
      <c r="C2" s="8" t="s">
        <v>221</v>
      </c>
    </row>
    <row r="3" spans="1:6" x14ac:dyDescent="0.3">
      <c r="A3" s="9" t="s">
        <v>22</v>
      </c>
      <c r="B3" s="10">
        <v>4000</v>
      </c>
      <c r="C3" s="11" t="s">
        <v>222</v>
      </c>
    </row>
    <row r="4" spans="1:6" x14ac:dyDescent="0.3">
      <c r="A4" s="12" t="s">
        <v>18</v>
      </c>
      <c r="B4" s="13">
        <v>2000</v>
      </c>
      <c r="C4" s="14" t="s">
        <v>222</v>
      </c>
    </row>
    <row r="5" spans="1:6" x14ac:dyDescent="0.3">
      <c r="A5" s="9" t="s">
        <v>31</v>
      </c>
      <c r="B5" s="10">
        <v>5000</v>
      </c>
      <c r="C5" s="11" t="s">
        <v>222</v>
      </c>
    </row>
    <row r="6" spans="1:6" x14ac:dyDescent="0.3">
      <c r="A6" s="12" t="s">
        <v>41</v>
      </c>
      <c r="B6" s="13">
        <v>1500</v>
      </c>
      <c r="C6" s="14" t="s">
        <v>223</v>
      </c>
    </row>
    <row r="7" spans="1:6" x14ac:dyDescent="0.3">
      <c r="A7" s="9" t="s">
        <v>8</v>
      </c>
      <c r="B7" s="10">
        <v>3000</v>
      </c>
      <c r="C7" s="11" t="s">
        <v>223</v>
      </c>
    </row>
    <row r="8" spans="1:6" x14ac:dyDescent="0.3">
      <c r="A8" s="12" t="s">
        <v>25</v>
      </c>
      <c r="B8" s="13">
        <v>2000</v>
      </c>
      <c r="C8" s="14" t="s">
        <v>222</v>
      </c>
    </row>
    <row r="9" spans="1:6" x14ac:dyDescent="0.3">
      <c r="A9" s="9" t="s">
        <v>57</v>
      </c>
      <c r="B9" s="10">
        <v>8000</v>
      </c>
      <c r="C9" s="11" t="s">
        <v>222</v>
      </c>
    </row>
    <row r="10" spans="1:6" x14ac:dyDescent="0.3">
      <c r="A10" s="12" t="s">
        <v>14</v>
      </c>
      <c r="B10" s="13">
        <v>1000</v>
      </c>
      <c r="C10" s="14" t="s">
        <v>224</v>
      </c>
    </row>
    <row r="13" spans="1:6" ht="28.8" x14ac:dyDescent="0.3">
      <c r="A13" s="20" t="s">
        <v>243</v>
      </c>
      <c r="B13" s="21" t="s">
        <v>239</v>
      </c>
      <c r="C13" s="22" t="s">
        <v>240</v>
      </c>
      <c r="D13" s="22" t="s">
        <v>241</v>
      </c>
      <c r="E13" s="22" t="s">
        <v>242</v>
      </c>
      <c r="F13" s="22" t="s">
        <v>255</v>
      </c>
    </row>
    <row r="14" spans="1:6" x14ac:dyDescent="0.3">
      <c r="A14" s="23" t="s">
        <v>22</v>
      </c>
      <c r="B14" s="24" cm="1">
        <f t="array" ref="B14:B21">SUMIF(student_budget_practice!B:B,A3:A10,student_budget_practice!E:E)</f>
        <v>6060.6</v>
      </c>
      <c r="C14" s="24" cm="1">
        <f t="array" ref="C14:C21">VLOOKUP(A3:A10,$A$3:$B$10,2,FALSE)*6</f>
        <v>24000</v>
      </c>
      <c r="D14" s="24">
        <f>B14-C14</f>
        <v>-17939.400000000001</v>
      </c>
      <c r="E14" s="24" t="str">
        <f>IF(D14&gt;0,"OVER by ₹"&amp;TEXT(D14,"#,##0.00"),"UNDER by ₹"&amp;TEXT(ABS(D14),"#,##0.00"))</f>
        <v>UNDER by ₹17,939.40</v>
      </c>
      <c r="F14" s="24" t="str">
        <f>IFERROR(VLOOKUP(A15,_xlfn.ANCHORARRAY(C14),3,FALSE),"Not budgeted")</f>
        <v>Not budgeted</v>
      </c>
    </row>
    <row r="15" spans="1:6" x14ac:dyDescent="0.3">
      <c r="A15" s="25" t="s">
        <v>18</v>
      </c>
      <c r="B15" s="24">
        <v>6763.8100000000013</v>
      </c>
      <c r="C15" s="24">
        <v>12000</v>
      </c>
      <c r="D15" s="24">
        <f t="shared" ref="D15:D21" si="0">B15-C15</f>
        <v>-5236.1899999999987</v>
      </c>
      <c r="E15" s="24" t="str">
        <f t="shared" ref="E15:E21" si="1">IF(D15&gt;0,"OVER by ₹"&amp;TEXT(D15,"#,##0.00"),"UNDER by ₹"&amp;TEXT(ABS(D15),"#,##0.00"))</f>
        <v>UNDER by ₹5,236.19</v>
      </c>
      <c r="F15" s="24" t="str">
        <f>IFERROR(VLOOKUP(A15,_xlfn.ANCHORARRAY(C15),3,FALSE),"Not budgeted")</f>
        <v>Not budgeted</v>
      </c>
    </row>
    <row r="16" spans="1:6" x14ac:dyDescent="0.3">
      <c r="A16" s="23" t="s">
        <v>31</v>
      </c>
      <c r="B16" s="24">
        <v>32891.280000000006</v>
      </c>
      <c r="C16" s="24">
        <v>30000</v>
      </c>
      <c r="D16" s="24">
        <f t="shared" si="0"/>
        <v>2891.2800000000061</v>
      </c>
      <c r="E16" s="24" t="str">
        <f t="shared" si="1"/>
        <v>OVER by ₹2,891.28</v>
      </c>
      <c r="F16" s="24" t="str">
        <f t="shared" ref="F16:F21" si="2">IFERROR(VLOOKUP(A16,_xlfn.ANCHORARRAY(C16),3,FALSE),"Not budgeted")</f>
        <v>Not budgeted</v>
      </c>
    </row>
    <row r="17" spans="1:6" x14ac:dyDescent="0.3">
      <c r="A17" s="25" t="s">
        <v>41</v>
      </c>
      <c r="B17" s="24">
        <v>15289.760000000002</v>
      </c>
      <c r="C17" s="24">
        <v>9000</v>
      </c>
      <c r="D17" s="24">
        <f t="shared" si="0"/>
        <v>6289.760000000002</v>
      </c>
      <c r="E17" s="24" t="str">
        <f t="shared" si="1"/>
        <v>OVER by ₹6,289.76</v>
      </c>
      <c r="F17" s="24" t="str">
        <f t="shared" si="2"/>
        <v>Not budgeted</v>
      </c>
    </row>
    <row r="18" spans="1:6" x14ac:dyDescent="0.3">
      <c r="A18" s="23" t="s">
        <v>8</v>
      </c>
      <c r="B18" s="24">
        <v>39483.869999999995</v>
      </c>
      <c r="C18" s="24">
        <v>18000</v>
      </c>
      <c r="D18" s="24">
        <f t="shared" si="0"/>
        <v>21483.869999999995</v>
      </c>
      <c r="E18" s="24" t="str">
        <f t="shared" si="1"/>
        <v>OVER by ₹21,483.87</v>
      </c>
      <c r="F18" s="24" t="str">
        <f t="shared" si="2"/>
        <v>Not budgeted</v>
      </c>
    </row>
    <row r="19" spans="1:6" x14ac:dyDescent="0.3">
      <c r="A19" s="25" t="s">
        <v>25</v>
      </c>
      <c r="B19" s="24">
        <v>25444.020000000004</v>
      </c>
      <c r="C19" s="24">
        <v>12000</v>
      </c>
      <c r="D19" s="24">
        <f t="shared" si="0"/>
        <v>13444.020000000004</v>
      </c>
      <c r="E19" s="24" t="str">
        <f t="shared" si="1"/>
        <v>OVER by ₹13,444.02</v>
      </c>
      <c r="F19" s="24" t="str">
        <f t="shared" si="2"/>
        <v>Not budgeted</v>
      </c>
    </row>
    <row r="20" spans="1:6" x14ac:dyDescent="0.3">
      <c r="A20" s="23" t="s">
        <v>57</v>
      </c>
      <c r="B20" s="24">
        <v>95972.45</v>
      </c>
      <c r="C20" s="24">
        <v>48000</v>
      </c>
      <c r="D20" s="24">
        <f t="shared" si="0"/>
        <v>47972.45</v>
      </c>
      <c r="E20" s="24" t="str">
        <f t="shared" si="1"/>
        <v>OVER by ₹47,972.45</v>
      </c>
      <c r="F20" s="24" t="str">
        <f t="shared" si="2"/>
        <v>Not budgeted</v>
      </c>
    </row>
    <row r="21" spans="1:6" x14ac:dyDescent="0.3">
      <c r="A21" s="25" t="s">
        <v>14</v>
      </c>
      <c r="B21" s="24">
        <v>73543.25</v>
      </c>
      <c r="C21" s="24">
        <v>6000</v>
      </c>
      <c r="D21" s="24">
        <f t="shared" si="0"/>
        <v>67543.25</v>
      </c>
      <c r="E21" s="24" t="str">
        <f t="shared" si="1"/>
        <v>OVER by ₹67,543.25</v>
      </c>
      <c r="F21" s="24" t="str">
        <f t="shared" si="2"/>
        <v>Not budgeted</v>
      </c>
    </row>
  </sheetData>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6DFBA-832D-4DFD-9899-0CAED6809C8B}">
  <dimension ref="A1:B10"/>
  <sheetViews>
    <sheetView workbookViewId="0">
      <selection activeCell="B1" sqref="B1"/>
    </sheetView>
  </sheetViews>
  <sheetFormatPr defaultRowHeight="14.4" x14ac:dyDescent="0.3"/>
  <cols>
    <col min="1" max="1" width="13.21875" bestFit="1" customWidth="1"/>
    <col min="2" max="2" width="21.6640625" bestFit="1" customWidth="1"/>
  </cols>
  <sheetData>
    <row r="1" spans="1:2" x14ac:dyDescent="0.3">
      <c r="A1" s="15" t="s">
        <v>234</v>
      </c>
      <c r="B1" t="s">
        <v>251</v>
      </c>
    </row>
    <row r="2" spans="1:2" x14ac:dyDescent="0.3">
      <c r="A2" s="17" t="s">
        <v>57</v>
      </c>
      <c r="B2">
        <v>95972.45</v>
      </c>
    </row>
    <row r="3" spans="1:2" x14ac:dyDescent="0.3">
      <c r="A3" s="17" t="s">
        <v>31</v>
      </c>
      <c r="B3">
        <v>32891.280000000006</v>
      </c>
    </row>
    <row r="4" spans="1:2" x14ac:dyDescent="0.3">
      <c r="A4" s="17" t="s">
        <v>41</v>
      </c>
      <c r="B4">
        <v>15289.760000000002</v>
      </c>
    </row>
    <row r="5" spans="1:2" x14ac:dyDescent="0.3">
      <c r="A5" s="17" t="s">
        <v>22</v>
      </c>
      <c r="B5">
        <v>6060.6</v>
      </c>
    </row>
    <row r="6" spans="1:2" x14ac:dyDescent="0.3">
      <c r="A6" s="17" t="s">
        <v>25</v>
      </c>
      <c r="B6">
        <v>25444.020000000004</v>
      </c>
    </row>
    <row r="7" spans="1:2" x14ac:dyDescent="0.3">
      <c r="A7" s="17" t="s">
        <v>14</v>
      </c>
      <c r="B7">
        <v>73543.25</v>
      </c>
    </row>
    <row r="8" spans="1:2" x14ac:dyDescent="0.3">
      <c r="A8" s="17" t="s">
        <v>8</v>
      </c>
      <c r="B8">
        <v>39483.869999999995</v>
      </c>
    </row>
    <row r="9" spans="1:2" x14ac:dyDescent="0.3">
      <c r="A9" s="17" t="s">
        <v>18</v>
      </c>
      <c r="B9">
        <v>6763.8100000000013</v>
      </c>
    </row>
    <row r="10" spans="1:2" x14ac:dyDescent="0.3">
      <c r="A10" s="17" t="s">
        <v>231</v>
      </c>
      <c r="B10">
        <v>295449.04000000004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2BAA7-E20D-4987-AB87-7F9ABACF830A}">
  <dimension ref="F6:H9"/>
  <sheetViews>
    <sheetView workbookViewId="0">
      <selection activeCell="F6" sqref="F6"/>
    </sheetView>
  </sheetViews>
  <sheetFormatPr defaultRowHeight="14.4" x14ac:dyDescent="0.3"/>
  <cols>
    <col min="6" max="6" width="22.44140625" customWidth="1"/>
    <col min="7" max="7" width="14.44140625" customWidth="1"/>
    <col min="8" max="8" width="17.88671875" customWidth="1"/>
  </cols>
  <sheetData>
    <row r="6" spans="6:8" x14ac:dyDescent="0.3">
      <c r="F6" t="s">
        <v>245</v>
      </c>
      <c r="G6" t="s">
        <v>246</v>
      </c>
      <c r="H6" t="s">
        <v>247</v>
      </c>
    </row>
    <row r="9" spans="6:8" x14ac:dyDescent="0.3">
      <c r="F9">
        <f>AVERAGE(Table1[[Amount ]])+2*STDEV(Table1[[Amount ]])</f>
        <v>4136.5941312813738</v>
      </c>
      <c r="G9">
        <f>COUNTIF(Table1[[Amount ]],"&gt;"&amp;F9)</f>
        <v>10</v>
      </c>
      <c r="H9">
        <f>SUMIF(Table1[[Amount ]],"&gt;"&amp;'Q22'!F9,Table1[[Amount ]])</f>
        <v>48006.579999999994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9E023-64AE-44CE-8C87-536C52242222}">
  <dimension ref="A3:B5"/>
  <sheetViews>
    <sheetView workbookViewId="0">
      <selection activeCell="A3" sqref="A3"/>
    </sheetView>
  </sheetViews>
  <sheetFormatPr defaultRowHeight="14.4" x14ac:dyDescent="0.3"/>
  <cols>
    <col min="1" max="1" width="12.5546875" bestFit="1" customWidth="1"/>
    <col min="2" max="2" width="14.88671875" bestFit="1" customWidth="1"/>
  </cols>
  <sheetData>
    <row r="3" spans="1:2" x14ac:dyDescent="0.3">
      <c r="A3" s="15" t="s">
        <v>234</v>
      </c>
      <c r="B3" t="s">
        <v>229</v>
      </c>
    </row>
    <row r="4" spans="1:2" x14ac:dyDescent="0.3">
      <c r="A4" s="17" t="s">
        <v>117</v>
      </c>
      <c r="B4">
        <v>68483.000000000015</v>
      </c>
    </row>
    <row r="5" spans="1:2" x14ac:dyDescent="0.3">
      <c r="A5" s="17" t="s">
        <v>231</v>
      </c>
      <c r="B5">
        <v>68483.000000000015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832B1-FAAD-405B-8517-282E36AE497E}">
  <dimension ref="A3:B9"/>
  <sheetViews>
    <sheetView workbookViewId="0">
      <selection activeCell="A3" sqref="A3"/>
    </sheetView>
  </sheetViews>
  <sheetFormatPr defaultRowHeight="14.4" x14ac:dyDescent="0.3"/>
  <cols>
    <col min="1" max="1" width="12.5546875" bestFit="1" customWidth="1"/>
    <col min="2" max="2" width="16.21875" bestFit="1" customWidth="1"/>
  </cols>
  <sheetData>
    <row r="3" spans="1:2" x14ac:dyDescent="0.3">
      <c r="A3" s="15" t="s">
        <v>234</v>
      </c>
      <c r="B3" t="s">
        <v>236</v>
      </c>
    </row>
    <row r="4" spans="1:2" x14ac:dyDescent="0.3">
      <c r="A4" s="17" t="s">
        <v>21</v>
      </c>
      <c r="B4">
        <v>6</v>
      </c>
    </row>
    <row r="5" spans="1:2" x14ac:dyDescent="0.3">
      <c r="A5" s="17" t="s">
        <v>34</v>
      </c>
      <c r="B5">
        <v>5</v>
      </c>
    </row>
    <row r="6" spans="1:2" x14ac:dyDescent="0.3">
      <c r="A6" s="17" t="s">
        <v>30</v>
      </c>
      <c r="B6">
        <v>12</v>
      </c>
    </row>
    <row r="7" spans="1:2" x14ac:dyDescent="0.3">
      <c r="A7" s="17" t="s">
        <v>86</v>
      </c>
      <c r="B7">
        <v>5</v>
      </c>
    </row>
    <row r="8" spans="1:2" x14ac:dyDescent="0.3">
      <c r="A8" s="17" t="s">
        <v>11</v>
      </c>
      <c r="B8">
        <v>6</v>
      </c>
    </row>
    <row r="9" spans="1:2" x14ac:dyDescent="0.3">
      <c r="A9" s="17" t="s">
        <v>231</v>
      </c>
      <c r="B9">
        <v>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E66C4-07D9-450B-B6E5-D44A5B039B7C}">
  <dimension ref="A3:B6"/>
  <sheetViews>
    <sheetView workbookViewId="0">
      <selection activeCell="B4" sqref="B4"/>
    </sheetView>
  </sheetViews>
  <sheetFormatPr defaultRowHeight="14.4" x14ac:dyDescent="0.3"/>
  <cols>
    <col min="1" max="1" width="12.5546875" bestFit="1" customWidth="1"/>
    <col min="2" max="2" width="14.88671875" bestFit="1" customWidth="1"/>
  </cols>
  <sheetData>
    <row r="3" spans="1:2" x14ac:dyDescent="0.3">
      <c r="A3" s="15" t="s">
        <v>234</v>
      </c>
      <c r="B3" t="s">
        <v>229</v>
      </c>
    </row>
    <row r="4" spans="1:2" x14ac:dyDescent="0.3">
      <c r="A4" s="17" t="s">
        <v>12</v>
      </c>
      <c r="B4">
        <v>40872.220000000008</v>
      </c>
    </row>
    <row r="5" spans="1:2" x14ac:dyDescent="0.3">
      <c r="A5" s="17" t="s">
        <v>17</v>
      </c>
      <c r="B5">
        <v>11410.79</v>
      </c>
    </row>
    <row r="6" spans="1:2" x14ac:dyDescent="0.3">
      <c r="A6" s="17" t="s">
        <v>231</v>
      </c>
      <c r="B6">
        <v>52283.010000000009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E0CD-B3D5-46A5-B361-A089CB9FAA08}">
  <dimension ref="E5:O10"/>
  <sheetViews>
    <sheetView topLeftCell="A2" workbookViewId="0">
      <selection activeCell="F5" sqref="F5"/>
    </sheetView>
  </sheetViews>
  <sheetFormatPr defaultRowHeight="14.4" x14ac:dyDescent="0.3"/>
  <cols>
    <col min="8" max="8" width="10.33203125" customWidth="1"/>
    <col min="15" max="15" width="15.5546875" customWidth="1"/>
  </cols>
  <sheetData>
    <row r="5" spans="5:15" x14ac:dyDescent="0.3">
      <c r="E5" s="15"/>
      <c r="F5" s="15" t="s">
        <v>230</v>
      </c>
      <c r="O5" s="2" t="s">
        <v>256</v>
      </c>
    </row>
    <row r="6" spans="5:15" x14ac:dyDescent="0.3">
      <c r="F6" t="s">
        <v>13</v>
      </c>
      <c r="G6" t="s">
        <v>73</v>
      </c>
      <c r="H6" t="s">
        <v>117</v>
      </c>
      <c r="I6" t="s">
        <v>138</v>
      </c>
      <c r="J6" t="s">
        <v>155</v>
      </c>
      <c r="K6" t="s">
        <v>174</v>
      </c>
      <c r="L6" t="s">
        <v>231</v>
      </c>
      <c r="O6" s="18">
        <f>(G7-F7)/F7</f>
        <v>0.32415608733009599</v>
      </c>
    </row>
    <row r="7" spans="5:15" x14ac:dyDescent="0.3">
      <c r="E7" t="s">
        <v>229</v>
      </c>
      <c r="F7">
        <v>32727.320000000003</v>
      </c>
      <c r="G7">
        <v>43336.08</v>
      </c>
      <c r="H7">
        <v>68483</v>
      </c>
      <c r="I7">
        <v>46461.67</v>
      </c>
      <c r="J7">
        <v>52283.01</v>
      </c>
      <c r="K7">
        <v>52157.960000000006</v>
      </c>
      <c r="L7">
        <v>295449.04000000004</v>
      </c>
      <c r="O7" s="18">
        <f>(H7-G7)/G7</f>
        <v>0.58027675784242594</v>
      </c>
    </row>
    <row r="8" spans="5:15" x14ac:dyDescent="0.3">
      <c r="O8" s="18">
        <f>(I7-H7)/H7</f>
        <v>-0.32155907305462672</v>
      </c>
    </row>
    <row r="9" spans="5:15" x14ac:dyDescent="0.3">
      <c r="O9" s="18">
        <f>(J7-I7)/I7</f>
        <v>0.1252933870005104</v>
      </c>
    </row>
    <row r="10" spans="5:15" x14ac:dyDescent="0.3">
      <c r="O10" s="18">
        <f>(K7-J7)/J7</f>
        <v>-2.3917903732014593E-3</v>
      </c>
    </row>
  </sheetData>
  <pageMargins left="0.7" right="0.7" top="0.75" bottom="0.75" header="0.3" footer="0.3"/>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E33A-8830-4884-A42E-24920E6425E6}">
  <dimension ref="E5:G13"/>
  <sheetViews>
    <sheetView workbookViewId="0">
      <selection activeCell="E5" sqref="E5"/>
    </sheetView>
  </sheetViews>
  <sheetFormatPr defaultRowHeight="14.4" x14ac:dyDescent="0.3"/>
  <cols>
    <col min="5" max="5" width="34.109375" customWidth="1"/>
    <col min="6" max="6" width="49.44140625" customWidth="1"/>
    <col min="7" max="7" width="14.33203125" customWidth="1"/>
  </cols>
  <sheetData>
    <row r="5" spans="5:7" x14ac:dyDescent="0.3">
      <c r="E5" s="2" t="s">
        <v>248</v>
      </c>
      <c r="F5" s="19" t="s">
        <v>249</v>
      </c>
      <c r="G5" s="2" t="s">
        <v>250</v>
      </c>
    </row>
    <row r="6" spans="5:7" x14ac:dyDescent="0.3">
      <c r="E6" s="2" t="s">
        <v>257</v>
      </c>
      <c r="F6" s="19" t="s">
        <v>259</v>
      </c>
      <c r="G6" s="2" t="s">
        <v>258</v>
      </c>
    </row>
    <row r="8" spans="5:7" x14ac:dyDescent="0.3">
      <c r="E8" t="s">
        <v>260</v>
      </c>
      <c r="F8" t="s">
        <v>266</v>
      </c>
      <c r="G8">
        <f>SUM(student_budget_practice!E2:E201)</f>
        <v>295449.03999999992</v>
      </c>
    </row>
    <row r="9" spans="5:7" x14ac:dyDescent="0.3">
      <c r="E9" t="s">
        <v>261</v>
      </c>
      <c r="F9" t="s">
        <v>267</v>
      </c>
      <c r="G9">
        <f>SUM(student_budget_practice!E2:E201)/182</f>
        <v>1623.3463736263732</v>
      </c>
    </row>
    <row r="10" spans="5:7" x14ac:dyDescent="0.3">
      <c r="E10" t="s">
        <v>262</v>
      </c>
      <c r="F10" t="s">
        <v>268</v>
      </c>
      <c r="G10">
        <f>SUMIF(student_budget_practice!G2:G201,"Need",student_budget_practice!E2:E201)/SUM(student_budget_practice!E2:E201)</f>
        <v>0.67055783968700666</v>
      </c>
    </row>
    <row r="11" spans="5:7" x14ac:dyDescent="0.3">
      <c r="E11" t="s">
        <v>263</v>
      </c>
      <c r="F11" t="s">
        <v>269</v>
      </c>
      <c r="G11">
        <f>SUMIF(student_budget_practice!G2:G201,"Want",student_budget_practice!E2:E201)/SUM(student_budget_practice!E2:E201)</f>
        <v>0.32944216031299339</v>
      </c>
    </row>
    <row r="12" spans="5:7" x14ac:dyDescent="0.3">
      <c r="E12" t="s">
        <v>264</v>
      </c>
      <c r="F12" t="s">
        <v>270</v>
      </c>
      <c r="G12" t="str">
        <f>INDEX(Q21_Lookup_Table!A14:A21,MATCH(MAX(Q21_Lookup_Table!B14:B21),Q21_Lookup_Table!B14:B21,0))</f>
        <v>Bills</v>
      </c>
    </row>
    <row r="13" spans="5:7" x14ac:dyDescent="0.3">
      <c r="E13" t="s">
        <v>265</v>
      </c>
      <c r="F13" t="s">
        <v>271</v>
      </c>
      <c r="G13" t="str">
        <f>INDEX(pivot_3!A4:A8,MATCH(MAX(pivot_3!B4:B8),pivot_3!B4:B8,0))</f>
        <v>Debit Card</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student_budget_practice</vt:lpstr>
      <vt:lpstr>Practice_Question_Answers</vt:lpstr>
      <vt:lpstr>Q12</vt:lpstr>
      <vt:lpstr>Q13</vt:lpstr>
      <vt:lpstr>Q16</vt:lpstr>
      <vt:lpstr>Q17</vt:lpstr>
      <vt:lpstr>Q21_Lookup_Table</vt:lpstr>
      <vt:lpstr>Q23</vt:lpstr>
      <vt:lpstr>Q22</vt:lpstr>
      <vt:lpstr>pivot_1</vt:lpstr>
      <vt:lpstr>pivot_3</vt:lpstr>
      <vt:lpstr>pivot_2</vt:lpstr>
      <vt:lpstr>Q29</vt:lpstr>
      <vt:lpstr>Q30</vt:lpstr>
      <vt:lpstr>AllAmount</vt:lpstr>
      <vt:lpstr>AllAmounts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prathipa</dc:creator>
  <cp:lastModifiedBy>s prathipa</cp:lastModifiedBy>
  <dcterms:created xsi:type="dcterms:W3CDTF">2026-06-05T09:17:23Z</dcterms:created>
  <dcterms:modified xsi:type="dcterms:W3CDTF">2026-06-08T05:31:57Z</dcterms:modified>
</cp:coreProperties>
</file>